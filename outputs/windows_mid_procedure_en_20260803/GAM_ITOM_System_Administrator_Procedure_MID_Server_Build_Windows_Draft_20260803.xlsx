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4ad76588654e86" /></Relationships>
</file>

<file path=xl/workbook.xml><?xml version="1.0" encoding="utf-8"?>
<x:workbook xmlns:x="http://schemas.openxmlformats.org/spreadsheetml/2006/main">
  <x:sheets>
    <x:sheet xmlns:r="http://schemas.openxmlformats.org/officeDocument/2006/relationships" name="Overview" sheetId="1" r:id="R8149674aa4c34d1a"/>
    <x:sheet xmlns:r="http://schemas.openxmlformats.org/officeDocument/2006/relationships" name="Contents" sheetId="2" r:id="R08ec88b7496140f3"/>
    <x:sheet xmlns:r="http://schemas.openxmlformats.org/officeDocument/2006/relationships" name="01" sheetId="3" r:id="R0d275df03db24b39"/>
    <x:sheet xmlns:r="http://schemas.openxmlformats.org/officeDocument/2006/relationships" name="Troubleshooting" sheetId="4" r:id="R0f911c8468434a94"/>
    <x:sheet xmlns:r="http://schemas.openxmlformats.org/officeDocument/2006/relationships" name="References" sheetId="5" r:id="Rae465f2358a34f4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Yu Gothic"/>
    </x:font>
    <x:font>
      <x:i/>
      <x:sz val="10"/>
      <x:color rgb="FF666666"/>
      <x:name val="Yu Gothic"/>
    </x:font>
    <x:font>
      <x:b/>
      <x:sz val="11"/>
      <x:color rgb="FFFFFFFF"/>
      <x:name val="Yu Gothic"/>
    </x:font>
    <x:font>
      <x:b/>
      <x:sz val="10"/>
      <x:color rgb="FF262626"/>
      <x:name val="Yu Gothic"/>
    </x:font>
    <x:font>
      <x:sz val="10"/>
      <x:color rgb="FF262626"/>
      <x:name val="Yu Gothic"/>
    </x:font>
  </x:fonts>
  <x:fills count="7">
    <x:fill>
      <x:patternFill patternType="none"/>
    </x:fill>
    <x:fill>
      <x:patternFill patternType="gray125"/>
    </x:fill>
    <x:fill>
      <x:patternFill patternType="solid">
        <x:fgColor rgb="FF595959"/>
      </x:patternFill>
    </x:fill>
    <x:fill>
      <x:patternFill patternType="solid">
        <x:fgColor rgb="FFF2F2F2"/>
      </x:patternFill>
    </x:fill>
    <x:fill>
      <x:patternFill patternType="solid">
        <x:fgColor rgb="FF7F7F7F"/>
      </x:patternFill>
    </x:fill>
    <x:fill>
      <x:patternFill patternType="solid">
        <x:fgColor rgb="FFD9D9D9"/>
      </x:patternFill>
    </x:fill>
    <x:fill>
      <x:patternFill patternType="solid">
        <x:fgColor rgb="FFFAFAFA"/>
      </x:patternFill>
    </x:fill>
  </x:fills>
  <x:borders count="3">
    <x:border/>
    <x:border>
      <x:left style="thin">
        <x:color rgb="FFBFBFBF"/>
      </x:left>
      <x:right style="thin">
        <x:color rgb="FFBFBFBF"/>
      </x:right>
      <x:top style="thin">
        <x:color rgb="FFBFBFBF"/>
      </x:top>
      <x:bottom style="thin">
        <x:color rgb="FFBFBFBF"/>
      </x:bottom>
    </x:border>
    <x:border>
      <x:left style="dashed">
        <x:color rgb="FFBFBFBF"/>
      </x:left>
      <x:right style="dashed">
        <x:color rgb="FFBFBFBF"/>
      </x:right>
      <x:top style="dashed">
        <x:color rgb="FFBFBFBF"/>
      </x:top>
      <x:bottom style="dashed">
        <x:color rgb="FFBFBFBF"/>
      </x:bottom>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left" wrapText="1"/>
    </x:xf>
    <x:xf numFmtId="0" fontId="4" fillId="5" borderId="1" xfId="0" applyNumberFormat="1" applyFont="1" applyFill="1" applyBorder="1" applyAlignment="1">
      <x:alignment horizontal="left" vertical="center" wrapText="1"/>
    </x:xf>
    <x:xf numFmtId="0" fontId="5" fillId="0" borderId="0" xfId="0" applyNumberFormat="1" applyFont="1" applyFill="1" applyBorder="1"/>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0" borderId="1" xfId="0" applyNumberFormat="1" applyFont="1" applyFill="1" applyBorder="1" applyAlignment="1">
      <x:alignment horizontal="center" vertical="top" wrapText="1"/>
    </x:xf>
    <x:xf numFmtId="0" fontId="5" fillId="6" borderId="1" xfId="0" applyNumberFormat="1" applyFont="1" applyFill="1" applyBorder="1" applyAlignment="1">
      <x:alignment vertical="top" wrapText="1"/>
    </x:xf>
    <x:xf numFmtId="200" fontId="5" fillId="0" borderId="1"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0" borderId="1" xfId="0" applyNumberFormat="1" applyFont="1" applyFill="1" applyBorder="1" applyAlignment="1">
      <x:alignment horizontal="center" vertical="center" wrapText="1"/>
    </x:xf>
    <x:xf numFmtId="0" fontId="2" fillId="6" borderId="1" xfId="0" applyNumberFormat="1" applyFont="1" applyFill="1" applyBorder="1" applyAlignment="1">
      <x:alignment vertical="top" wrapText="1"/>
    </x:xf>
    <x:xf numFmtId="0" fontId="2" fillId="6" borderId="2" xfId="0" applyNumberFormat="1" applyFont="1" applyFill="1" applyBorder="1" applyAlignment="1">
      <x:alignment vertical="top" wrapText="1"/>
    </x:xf>
    <x:xf numFmtId="0" fontId="2" fillId="6" borderId="2" xfId="0" applyNumberFormat="1" applyFont="1" applyFill="1" applyBorder="1" applyAlignment="1">
      <x:alignment horizontal="center" vertical="top" wrapText="1"/>
    </x:xf>
    <x:xf numFmtId="0" fontId="2" fillId="6" borderId="2"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9c46d3ff324148" /><Relationship Type="http://schemas.openxmlformats.org/officeDocument/2006/relationships/theme" Target="/xl/theme/theme1.xml" Id="R86854c296e1049b2" /><Relationship Type="http://schemas.openxmlformats.org/officeDocument/2006/relationships/sharedStrings" Target="/xl/sharedStrings.xml" Id="Rcaacfb3485364482" /><Relationship Type="http://schemas.openxmlformats.org/officeDocument/2006/relationships/worksheet" Target="/xl/worksheets/sheet1.xml" Id="R8149674aa4c34d1a" /><Relationship Type="http://schemas.openxmlformats.org/officeDocument/2006/relationships/worksheet" Target="/xl/worksheets/sheet2.xml" Id="R08ec88b7496140f3" /><Relationship Type="http://schemas.openxmlformats.org/officeDocument/2006/relationships/worksheet" Target="/xl/worksheets/sheet3.xml" Id="R0d275df03db24b39" /><Relationship Type="http://schemas.openxmlformats.org/officeDocument/2006/relationships/worksheet" Target="/xl/worksheets/sheet4.xml" Id="R0f911c8468434a94" /><Relationship Type="http://schemas.openxmlformats.org/officeDocument/2006/relationships/worksheet" Target="/xl/worksheets/sheet5.xml" Id="Rae465f2358a34f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0.6299991607666" hidden="0" customWidth="1"/>
    <x:col min="2" max="2" width="48.75" hidden="0" customWidth="1"/>
    <x:col min="3" max="3" width="32.5" hidden="0" customWidth="1"/>
    <x:col min="4" max="4" width="41.25" hidden="0" customWidth="1"/>
    <x:col min="5" max="5" width="3" hidden="0" customWidth="1"/>
    <x:col min="6" max="6" width="22.5" hidden="0" customWidth="1"/>
    <x:col min="7" max="7" width="11.25" hidden="0" customWidth="1"/>
    <x:col min="8" max="8" width="27.5" hidden="0" customWidth="1"/>
  </x:cols>
  <x:sheetData>
    <x:row r="1" ht="38" customHeight="1">
      <x:c r="A1" s="3" t="str">
        <x:v>GAM ITOM System Administrator Procedure | MID Server Build (Windows)</x:v>
      </x:c>
      <x:c r="B1" s="3"/>
      <x:c r="C1" s="3"/>
      <x:c r="D1" s="3"/>
      <x:c r="E1" s="3"/>
      <x:c r="F1" s="3"/>
      <x:c r="G1" s="3"/>
      <x:c r="H1" s="3"/>
    </x:row>
    <x:row r="2">
      <x:c r="A2" s="8" t="str">
        <x:v>Draft to be completed with screenshots from the corporate environment. Do not record passwords, cookies, temporary URLs, or personal information.</x:v>
      </x:c>
      <x:c r="B2" s="8"/>
      <x:c r="C2" s="8"/>
      <x:c r="D2" s="8"/>
      <x:c r="E2" s="8"/>
      <x:c r="F2" s="8"/>
      <x:c r="G2" s="8"/>
      <x:c r="H2" s="8"/>
    </x:row>
    <x:row r="4">
      <x:c r="A4" s="11" t="str">
        <x:v>Document Information</x:v>
      </x:c>
      <x:c r="B4" s="11"/>
      <x:c r="C4" s="11"/>
      <x:c r="D4" s="11"/>
      <x:c r="E4" s="11"/>
      <x:c r="F4" s="11"/>
      <x:c r="G4" s="11"/>
      <x:c r="H4" s="11"/>
    </x:row>
    <x:row r="5" ht="48" customHeight="1">
      <x:c r="A5" s="17" t="str">
        <x:v>Deliverable</x:v>
      </x:c>
      <x:c r="B5" s="21" t="str">
        <x:v>GAM_ITOM_System_Administrator_Procedure.xlsx</x:v>
      </x:c>
    </x:row>
    <x:row r="6" ht="48" customHeight="1">
      <x:c r="A6" s="17" t="str">
        <x:v>Procedure</x:v>
      </x:c>
      <x:c r="B6" s="21" t="str">
        <x:v>MID Server Build Procedure (Windows)</x:v>
      </x:c>
    </x:row>
    <x:row r="7" ht="48" customHeight="1">
      <x:c r="A7" s="17" t="str">
        <x:v>Audience</x:v>
      </x:c>
      <x:c r="B7" s="21" t="str">
        <x:v>System administrators building a Windows MID Server for the first time</x:v>
      </x:c>
    </x:row>
    <x:row r="8" ht="48" customHeight="1">
      <x:c r="A8" s="17" t="str">
        <x:v>Target Release</x:v>
      </x:c>
      <x:c r="B8" s="21" t="str">
        <x:v>ServiceNow Australia (reconfirm the current UI before execution)</x:v>
      </x:c>
    </x:row>
    <x:row r="9" ht="48" customHeight="1">
      <x:c r="A9" s="17" t="str">
        <x:v>Document Status</x:v>
      </x:c>
      <x:c r="B9" s="21" t="str">
        <x:v>Draft / awaiting replacement with corporate-environment screenshots</x:v>
      </x:c>
    </x:row>
    <x:row r="10" ht="48" customHeight="1">
      <x:c r="A10" s="17" t="str">
        <x:v>Baseline Date</x:v>
      </x:c>
      <x:c r="B10" s="21" t="str">
        <x:v>2026-08-03</x:v>
      </x:c>
    </x:row>
    <x:row r="11" ht="48" customHeight="1">
      <x:c r="A11" s="17" t="str">
        <x:v>Scope</x:v>
      </x:c>
      <x:c r="B11" s="21" t="str">
        <x:v>Windows preparation, MSI acquisition and verification, installation, Windows service startup, log and initial connection checks</x:v>
      </x:c>
    </x:row>
    <x:row r="12" ht="48" customHeight="1">
      <x:c r="A12" s="17" t="str">
        <x:v>Separate Procedures</x:v>
      </x:c>
      <x:c r="B12" s="21" t="str">
        <x:v>Use the MID Server Registration Procedure for detailed validation, capabilities, and IP ranges; use the VUP Procedure for updates</x:v>
      </x:c>
    </x:row>
    <x:row r="14">
      <x:c r="A14" s="11" t="str">
        <x:v>Work Reference Values (complete as needed)</x:v>
      </x:c>
      <x:c r="B14" s="11"/>
      <x:c r="C14" s="11"/>
      <x:c r="D14" s="11"/>
      <x:c r="E14" s="11"/>
      <x:c r="F14" s="11" t="str">
        <x:v>Progress</x:v>
      </x:c>
      <x:c r="G14" s="11"/>
      <x:c r="H14" s="11"/>
    </x:row>
    <x:row r="15">
      <x:c r="A15" s="23" t="str">
        <x:v>No.</x:v>
      </x:c>
      <x:c r="B15" s="23" t="str">
        <x:v>Input</x:v>
      </x:c>
      <x:c r="C15" s="23" t="str">
        <x:v>Actual Value / Result</x:v>
      </x:c>
      <x:c r="D15" s="23" t="str">
        <x:v>Notes</x:v>
      </x:c>
      <x:c r="F15" s="23" t="str">
        <x:v>Item</x:v>
      </x:c>
      <x:c r="G15" s="23" t="str">
        <x:v>Value</x:v>
      </x:c>
    </x:row>
    <x:row r="16" ht="42" customHeight="1">
      <x:c r="A16" s="24" t="n">
        <x:v>1</x:v>
      </x:c>
      <x:c r="B16" s="21" t="str">
        <x:v>ServiceNow Instance URL</x:v>
      </x:c>
      <x:c r="C16" s="25" t="str"/>
      <x:c r="D16" s="21" t="str">
        <x:v>Corporate development instance; do not enter a PDI or another environment</x:v>
      </x:c>
      <x:c r="F16" s="21" t="str">
        <x:v>Total Steps</x:v>
      </x:c>
      <x:c r="G16" s="26" t="n">
        <x:f>COUNT('01'!$A$5:$A$60)</x:f>
        <x:v>15</x:v>
      </x:c>
    </x:row>
    <x:row r="17" ht="42" customHeight="1">
      <x:c r="A17" s="24" t="n">
        <x:v>2</x:v>
      </x:c>
      <x:c r="B17" s="21" t="str">
        <x:v>Instance FQDN</x:v>
      </x:c>
      <x:c r="C17" s="25" t="str"/>
      <x:c r="D17" s="21" t="str">
        <x:v>Used for DNS and TCP 443 checks</x:v>
      </x:c>
      <x:c r="F17" s="21" t="str">
        <x:v>Executed</x:v>
      </x:c>
      <x:c r="G17" s="26" t="n">
        <x:f>COUNTIF('01'!$B$5:$B$60,"■")</x:f>
        <x:v>0</x:v>
      </x:c>
    </x:row>
    <x:row r="18" ht="42" customHeight="1">
      <x:c r="A18" s="24" t="n">
        <x:v>3</x:v>
      </x:c>
      <x:c r="B18" s="21" t="str">
        <x:v>MID Server Name</x:v>
      </x:c>
      <x:c r="C18" s="25" t="str"/>
      <x:c r="D18" s="21" t="str">
        <x:v>Must match the VM, naming standard, and ServiceNow record</x:v>
      </x:c>
      <x:c r="F18" s="21" t="str">
        <x:v>Verified</x:v>
      </x:c>
      <x:c r="G18" s="26" t="n">
        <x:f>COUNTIF('01'!$R$5:$R$60,"■")</x:f>
        <x:v>0</x:v>
      </x:c>
    </x:row>
    <x:row r="19" ht="42" customHeight="1">
      <x:c r="A19" s="24" t="n">
        <x:v>4</x:v>
      </x:c>
      <x:c r="B19" s="21" t="str">
        <x:v>Windows VM Name / Private IP</x:v>
      </x:c>
      <x:c r="C19" s="25" t="str"/>
      <x:c r="D19" s="21" t="str">
        <x:v>Record the fixed private IP address</x:v>
      </x:c>
    </x:row>
    <x:row r="20" ht="42" customHeight="1">
      <x:c r="A20" s="24" t="n">
        <x:v>5</x:v>
      </x:c>
      <x:c r="B20" s="21" t="str">
        <x:v>Installation Folder</x:v>
      </x:c>
      <x:c r="C20" s="25" t="str"/>
      <x:c r="D20" s="21" t="str">
        <x:v>Use the corporate standard, for example C:\ServiceNow\MID Server</x:v>
      </x:c>
      <x:c r="F20" s="11" t="str">
        <x:v>Completion Criteria</x:v>
      </x:c>
      <x:c r="G20" s="11"/>
      <x:c r="H20" s="11"/>
    </x:row>
    <x:row r="21" ht="42" customHeight="1">
      <x:c r="A21" s="24" t="n">
        <x:v>6</x:v>
      </x:c>
      <x:c r="B21" s="21" t="str">
        <x:v>ServiceNow MID User</x:v>
      </x:c>
      <x:c r="C21" s="25" t="str"/>
      <x:c r="D21" s="21" t="str">
        <x:v>Dedicated technical user with the mid_server role; never record the password</x:v>
      </x:c>
      <x:c r="F21" s="25" t="str">
        <x:v>1. The Windows service is Running
2. StartMode is Automatic or follows the corporate standard
3. StartName and PathName are correct
4. Logs contain no persistent connection errors
5. The target MID record appears in ServiceNow</x:v>
      </x:c>
      <x:c r="G21" s="25"/>
      <x:c r="H21" s="25"/>
    </x:row>
    <x:row r="22" ht="42" customHeight="1">
      <x:c r="A22" s="24" t="n">
        <x:v>7</x:v>
      </x:c>
      <x:c r="B22" s="21" t="str">
        <x:v>Windows Service Account</x:v>
      </x:c>
      <x:c r="C22" s="25" t="str"/>
      <x:c r="D22" s="21" t="str">
        <x:v>Do not use a personal account; confirm Log on as a service and folder permissions</x:v>
      </x:c>
      <x:c r="F22" s="25"/>
      <x:c r="G22" s="25"/>
      <x:c r="H22" s="25"/>
    </x:row>
    <x:row r="23" ht="42" customHeight="1">
      <x:c r="A23" s="24" t="n">
        <x:v>8</x:v>
      </x:c>
      <x:c r="B23" s="21" t="str">
        <x:v>Proxy / Mutual Authentication</x:v>
      </x:c>
      <x:c r="C23" s="25" t="str"/>
      <x:c r="D23" s="21" t="str">
        <x:v>Record whether they are used and the approved settings</x:v>
      </x:c>
      <x:c r="F23" s="25"/>
      <x:c r="G23" s="25"/>
      <x:c r="H23" s="25"/>
    </x:row>
    <x:row r="24" ht="42" customHeight="1">
      <x:c r="A24" s="24" t="n">
        <x:v>9</x:v>
      </x:c>
      <x:c r="B24" s="21" t="str">
        <x:v>Evidence Folder</x:v>
      </x:c>
      <x:c r="C24" s="25" t="str"/>
      <x:c r="D24" s="21" t="str">
        <x:v>Corporate-approved evidence location</x:v>
      </x:c>
      <x:c r="F24" s="25"/>
      <x:c r="G24" s="25"/>
      <x:c r="H24" s="25"/>
    </x:row>
    <x:row r="25" ht="42" customHeight="1">
      <x:c r="A25" s="24" t="n">
        <x:v>10</x:v>
      </x:c>
      <x:c r="B25" s="21" t="str">
        <x:v>Operator / Planned Date</x:v>
      </x:c>
      <x:c r="C25" s="25" t="str"/>
      <x:c r="D25" s="21" t="str">
        <x:v>Record the approved change window when required</x:v>
      </x:c>
      <x:c r="F25" s="25"/>
      <x:c r="G25" s="25"/>
      <x:c r="H25" s="25"/>
    </x:row>
  </x:sheetData>
  <x:mergeCells>
    <x:mergeCell ref="A1:H1"/>
    <x:mergeCell ref="A2:H2"/>
    <x:mergeCell ref="A4:H4"/>
    <x:mergeCell ref="A14:H14"/>
    <x:mergeCell ref="F14:H14"/>
    <x:mergeCell ref="F20:H20"/>
    <x:mergeCell ref="F21:H2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880000114440918" hidden="0" customWidth="1"/>
    <x:col min="2" max="2" width="18.1299991607666" hidden="0" customWidth="1"/>
    <x:col min="3" max="3" width="41.25" hidden="0" customWidth="1"/>
    <x:col min="4" max="4" width="23.75" hidden="0" customWidth="1"/>
    <x:col min="5" max="5" width="35" hidden="0" customWidth="1"/>
    <x:col min="6" max="6" width="41.25" hidden="0" customWidth="1"/>
  </x:cols>
  <x:sheetData>
    <x:row r="1">
      <x:c r="A1" s="3" t="str">
        <x:v>Contents</x:v>
      </x:c>
      <x:c r="B1" s="3"/>
      <x:c r="C1" s="3"/>
      <x:c r="D1" s="3"/>
      <x:c r="E1" s="3"/>
      <x:c r="F1" s="3"/>
    </x:row>
    <x:row r="3">
      <x:c r="A3" s="23" t="str">
        <x:v>No.</x:v>
      </x:c>
      <x:c r="B3" s="23" t="str">
        <x:v>Sheet</x:v>
      </x:c>
      <x:c r="C3" s="23" t="str">
        <x:v>Content</x:v>
      </x:c>
      <x:c r="D3" s="23" t="str">
        <x:v>When Used</x:v>
      </x:c>
      <x:c r="E3" s="23" t="str">
        <x:v>Completion Check</x:v>
      </x:c>
      <x:c r="F3" s="23" t="str">
        <x:v>Notes</x:v>
      </x:c>
    </x:row>
    <x:row r="4" ht="50" customHeight="1">
      <x:c r="A4" s="24" t="n">
        <x:v>1</x:v>
      </x:c>
      <x:c r="B4" s="21" t="str">
        <x:v>Overview</x:v>
      </x:c>
      <x:c r="C4" s="21" t="str">
        <x:v>Document information, reference values, progress, and completion criteria</x:v>
      </x:c>
      <x:c r="D4" s="21" t="str">
        <x:v>As needed / after work</x:v>
      </x:c>
      <x:c r="E4" s="21" t="str">
        <x:v>Required information can be referenced</x:v>
      </x:c>
      <x:c r="F4" s="21" t="str">
        <x:v>Complete as needed</x:v>
      </x:c>
    </x:row>
    <x:row r="5" ht="50" customHeight="1">
      <x:c r="A5" s="24" t="n">
        <x:v>2</x:v>
      </x:c>
      <x:c r="B5" s="21" t="str">
        <x:v>01</x:v>
      </x:c>
      <x:c r="C5" s="21" t="str">
        <x:v>Windows MID Server build procedure</x:v>
      </x:c>
      <x:c r="D5" s="21" t="str">
        <x:v>Windows-side build</x:v>
      </x:c>
      <x:c r="E5" s="21" t="str">
        <x:v>All execution and verification fields are complete</x:v>
      </x:c>
      <x:c r="F5" s="21" t="str">
        <x:v>Insert corporate screenshots</x:v>
      </x:c>
    </x:row>
    <x:row r="6" ht="50" customHeight="1">
      <x:c r="A6" s="24" t="n">
        <x:v>3</x:v>
      </x:c>
      <x:c r="B6" s="21" t="str">
        <x:v>Troubleshooting</x:v>
      </x:c>
      <x:c r="C6" s="21" t="str">
        <x:v>Common errors and isolation guidance</x:v>
      </x:c>
      <x:c r="D6" s="21" t="str">
        <x:v>When an issue occurs</x:v>
      </x:c>
      <x:c r="E6" s="21" t="str">
        <x:v>Record the cause, action, and evidence</x:v>
      </x:c>
      <x:c r="F6" s="21" t="str">
        <x:v>Do not disable security controls without approval</x:v>
      </x:c>
    </x:row>
    <x:row r="7" ht="50" customHeight="1">
      <x:c r="A7" s="24" t="n">
        <x:v>4</x:v>
      </x:c>
      <x:c r="B7" s="21" t="str">
        <x:v>References</x:v>
      </x:c>
      <x:c r="C7" s="21" t="str">
        <x:v>Official ServiceNow documentation</x:v>
      </x:c>
      <x:c r="D7" s="21" t="str">
        <x:v>Before execution</x:v>
      </x:c>
      <x:c r="E7" s="21" t="str">
        <x:v>Confirm the current release documentation</x:v>
      </x:c>
      <x:c r="F7" s="21" t="str">
        <x:v>Record URLs and review dates</x:v>
      </x:c>
    </x:row>
  </x:sheetData>
  <x:mergeCells>
    <x:mergeCell ref="A1:F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5.5" hidden="0" customWidth="1"/>
    <x:col min="2" max="2" width="6.75" hidden="0" customWidth="1"/>
    <x:col min="3" max="3" width="9.5" hidden="0" customWidth="1"/>
    <x:col min="4" max="4" width="9.5" hidden="0" customWidth="1"/>
    <x:col min="5" max="5" width="9.5" hidden="0" customWidth="1"/>
    <x:col min="6" max="6" width="9.5" hidden="0" customWidth="1"/>
    <x:col min="7" max="7" width="9.5" hidden="0" customWidth="1"/>
    <x:col min="8" max="8" width="9.5" hidden="0" customWidth="1"/>
    <x:col min="9" max="9" width="9.5" hidden="0" customWidth="1"/>
    <x:col min="10" max="10" width="9.5" hidden="0" customWidth="1"/>
    <x:col min="11" max="11" width="9.5" hidden="0" customWidth="1"/>
    <x:col min="12" max="12" width="9.5" hidden="0" customWidth="1"/>
    <x:col min="13" max="13" width="9.5" hidden="0" customWidth="1"/>
    <x:col min="14" max="14" width="9.5" hidden="0" customWidth="1"/>
    <x:col min="15" max="15" width="9.5" hidden="0" customWidth="1"/>
    <x:col min="16" max="16" width="9.5" hidden="0" customWidth="1"/>
    <x:col min="17" max="17" width="37.5" hidden="0" customWidth="1"/>
    <x:col min="18" max="18" width="7.25" hidden="0" customWidth="1"/>
    <x:col min="19" max="19" width="15.630000114440918" hidden="0" customWidth="1"/>
  </x:cols>
  <x:sheetData>
    <x:row r="1" ht="38" customHeight="1">
      <x:c r="A1" s="3" t="str">
        <x:v>■MID Server Build Procedure (Windows)</x:v>
      </x:c>
      <x:c r="B1" s="3"/>
      <x:c r="C1" s="3"/>
      <x:c r="D1" s="3"/>
      <x:c r="E1" s="3"/>
      <x:c r="F1" s="3"/>
      <x:c r="G1" s="3"/>
      <x:c r="H1" s="3"/>
      <x:c r="I1" s="3"/>
      <x:c r="J1" s="3"/>
      <x:c r="K1" s="3"/>
      <x:c r="L1" s="3"/>
      <x:c r="M1" s="3"/>
      <x:c r="N1" s="3"/>
      <x:c r="O1" s="3"/>
      <x:c r="P1" s="3"/>
      <x:c r="Q1" s="3"/>
      <x:c r="R1" s="3"/>
      <x:c r="S1" s="3"/>
    </x:row>
    <x:row r="2">
      <x:c r="A2" s="8" t="str">
        <x:v>This procedure covers the Windows-side build. Refer to the ServiceNow MID Server Registration Procedure for detailed validation, capability, and IP range configuration.</x:v>
      </x:c>
      <x:c r="B2" s="8"/>
      <x:c r="C2" s="8"/>
      <x:c r="D2" s="8"/>
      <x:c r="E2" s="8"/>
      <x:c r="F2" s="8"/>
      <x:c r="G2" s="8"/>
      <x:c r="H2" s="8"/>
      <x:c r="I2" s="8"/>
      <x:c r="J2" s="8"/>
      <x:c r="K2" s="8"/>
      <x:c r="L2" s="8"/>
      <x:c r="M2" s="8"/>
      <x:c r="N2" s="8"/>
      <x:c r="O2" s="8"/>
      <x:c r="P2" s="8"/>
      <x:c r="Q2" s="8"/>
      <x:c r="R2" s="8"/>
      <x:c r="S2" s="8"/>
    </x:row>
    <x:row r="4" ht="34" customHeight="1">
      <x:c r="A4" s="23" t="str">
        <x:v>#</x:v>
      </x:c>
      <x:c r="B4" s="23" t="str">
        <x:v>Done</x:v>
      </x:c>
      <x:c r="C4" s="23" t="str">
        <x:v>Procedure</x:v>
      </x:c>
      <x:c r="D4" s="23"/>
      <x:c r="E4" s="23"/>
      <x:c r="F4" s="23"/>
      <x:c r="G4" s="23"/>
      <x:c r="H4" s="23"/>
      <x:c r="I4" s="23"/>
      <x:c r="J4" s="23"/>
      <x:c r="K4" s="23"/>
      <x:c r="L4" s="23"/>
      <x:c r="M4" s="23"/>
      <x:c r="N4" s="23"/>
      <x:c r="O4" s="23"/>
      <x:c r="P4" s="23"/>
      <x:c r="Q4" s="23" t="str">
        <x:v>Acceptance Criteria</x:v>
      </x:c>
      <x:c r="R4" s="23" t="str">
        <x:v>Verify</x:v>
      </x:c>
      <x:c r="S4" s="23" t="str">
        <x:v>Operator / Date</x:v>
      </x:c>
    </x:row>
    <x:row r="5" ht="26" customHeight="1">
      <x:c r="A5" s="11" t="str">
        <x:v>A. Pre-installation</x:v>
      </x:c>
      <x:c r="B5" s="11"/>
      <x:c r="C5" s="11"/>
      <x:c r="D5" s="11"/>
      <x:c r="E5" s="11"/>
      <x:c r="F5" s="11"/>
      <x:c r="G5" s="11"/>
      <x:c r="H5" s="11"/>
      <x:c r="I5" s="11"/>
      <x:c r="J5" s="11"/>
      <x:c r="K5" s="11"/>
      <x:c r="L5" s="11"/>
      <x:c r="M5" s="11"/>
      <x:c r="N5" s="11"/>
      <x:c r="O5" s="11"/>
      <x:c r="P5" s="11"/>
      <x:c r="Q5" s="11"/>
      <x:c r="R5" s="11"/>
      <x:c r="S5" s="11"/>
    </x:row>
    <x:row r="6" ht="120" customHeight="1">
      <x:c r="A6" s="31" t="n">
        <x:v>1</x:v>
      </x:c>
      <x:c r="B6" s="31" t="str">
        <x:v>□</x:v>
      </x:c>
      <x:c r="C6" s="21" t="str">
        <x:v>Log on to the Windows VM with administrator privileges and check the OS and resources.
Run each command separately in an elevated PowerShell window.
$PSVersionTable.PSVersion
Get-CimInstance Win32_OperatingSystem | Select-Object Caption,Version,OSArchitecture
Get-Volume -DriveLetter C | Select-Object DriveLetter,Size,SizeRemaining</x:v>
      </x:c>
      <x:c r="D6" s="21"/>
      <x:c r="E6" s="21"/>
      <x:c r="F6" s="21"/>
      <x:c r="G6" s="21"/>
      <x:c r="H6" s="21"/>
      <x:c r="I6" s="21"/>
      <x:c r="J6" s="21"/>
      <x:c r="K6" s="21"/>
      <x:c r="L6" s="21"/>
      <x:c r="M6" s="21"/>
      <x:c r="N6" s="21"/>
      <x:c r="O6" s="21"/>
      <x:c r="P6" s="21"/>
      <x:c r="Q6" s="21" t="str">
        <x:v>The VM runs a Windows Server version supported by the current MID Server requirements and has sufficient free space</x:v>
      </x:c>
      <x:c r="R6" s="31" t="str">
        <x:v>□</x:v>
      </x:c>
      <x:c r="S6" s="31" t="str">
        <x:v>Operator:
Date:</x:v>
      </x:c>
    </x:row>
    <x:row r="7" ht="120" customHeight="1">
      <x:c r="A7" s="31"/>
      <x:c r="B7" s="31"/>
      <x:c r="C7" s="35" t="str">
        <x:v>[Screenshot Placeholder]
Screen showing the OS name, 64-bit architecture, PowerShell version, and free space on drive C</x:v>
      </x:c>
      <x:c r="D7" s="35"/>
      <x:c r="E7" s="35"/>
      <x:c r="F7" s="35"/>
      <x:c r="G7" s="35"/>
      <x:c r="H7" s="35"/>
      <x:c r="I7" s="35"/>
      <x:c r="J7" s="35"/>
      <x:c r="K7" s="35"/>
      <x:c r="L7" s="35"/>
      <x:c r="M7" s="35"/>
      <x:c r="N7" s="35"/>
      <x:c r="O7" s="35"/>
      <x:c r="P7" s="35"/>
      <x:c r="Q7" s="21"/>
      <x:c r="R7" s="31"/>
      <x:c r="S7" s="31"/>
    </x:row>
    <x:row r="8" ht="120" customHeight="1">
      <x:c r="A8" s="31" t="n">
        <x:v>2</x:v>
      </x:c>
      <x:c r="B8" s="31" t="str">
        <x:v>□</x:v>
      </x:c>
      <x:c r="C8" s="21" t="str">
        <x:v>Distinguish the identities used for installation, Windows service execution, and ServiceNow connectivity.
Use the Windows administrator identity only for installation, the approved Windows service identity to run the MID service, and the ServiceNow MID User to connect to the instance. These are three responsibilities and do not always require three newly created dedicated accounts. Do not use a personal account for long-term service execution.</x:v>
      </x:c>
      <x:c r="D8" s="21"/>
      <x:c r="E8" s="21"/>
      <x:c r="F8" s="21"/>
      <x:c r="G8" s="21"/>
      <x:c r="H8" s="21"/>
      <x:c r="I8" s="21"/>
      <x:c r="J8" s="21"/>
      <x:c r="K8" s="21"/>
      <x:c r="L8" s="21"/>
      <x:c r="M8" s="21"/>
      <x:c r="N8" s="21"/>
      <x:c r="O8" s="21"/>
      <x:c r="P8" s="21"/>
      <x:c r="Q8" s="21" t="str">
        <x:v>The administrator, service identity, and MID User are not confused and each is used only for its intended purpose</x:v>
      </x:c>
      <x:c r="R8" s="31" t="str">
        <x:v>□</x:v>
      </x:c>
      <x:c r="S8" s="31" t="str">
        <x:v>Operator:
Date:</x:v>
      </x:c>
    </x:row>
    <x:row r="9" ht="120" customHeight="1">
      <x:c r="A9" s="31"/>
      <x:c r="B9" s="31"/>
      <x:c r="C9" s="35" t="str">
        <x:v>[Screenshot Placeholder]
Approval record or account list with passwords and personal information masked</x:v>
      </x:c>
      <x:c r="D9" s="35"/>
      <x:c r="E9" s="35"/>
      <x:c r="F9" s="35"/>
      <x:c r="G9" s="35"/>
      <x:c r="H9" s="35"/>
      <x:c r="I9" s="35"/>
      <x:c r="J9" s="35"/>
      <x:c r="K9" s="35"/>
      <x:c r="L9" s="35"/>
      <x:c r="M9" s="35"/>
      <x:c r="N9" s="35"/>
      <x:c r="O9" s="35"/>
      <x:c r="P9" s="35"/>
      <x:c r="Q9" s="21"/>
      <x:c r="R9" s="31"/>
      <x:c r="S9" s="31"/>
    </x:row>
    <x:row r="10" ht="120" customHeight="1">
      <x:c r="A10" s="31" t="n">
        <x:v>3</x:v>
      </x:c>
      <x:c r="B10" s="31" t="str">
        <x:v>□</x:v>
      </x:c>
      <x:c r="C10" s="21" t="str">
        <x:v>Verify DNS resolution and TCP 443 connectivity to the ServiceNow instance.
Replace &lt;INSTANCE_FQDN&gt; with the actual value and run each command separately.
Resolve-DnsName &lt;INSTANCE_FQDN&gt;
Test-NetConnection &lt;INSTANCE_FQDN&gt; -Port 443
If a proxy is used, also verify the corporate-approved proxy settings.</x:v>
      </x:c>
      <x:c r="D10" s="21"/>
      <x:c r="E10" s="21"/>
      <x:c r="F10" s="21"/>
      <x:c r="G10" s="21"/>
      <x:c r="H10" s="21"/>
      <x:c r="I10" s="21"/>
      <x:c r="J10" s="21"/>
      <x:c r="K10" s="21"/>
      <x:c r="L10" s="21"/>
      <x:c r="M10" s="21"/>
      <x:c r="N10" s="21"/>
      <x:c r="O10" s="21"/>
      <x:c r="P10" s="21"/>
      <x:c r="Q10" s="21" t="str">
        <x:v>The MID Server can reach the ServiceNow instance over HTTPS port 443</x:v>
      </x:c>
      <x:c r="R10" s="31" t="str">
        <x:v>□</x:v>
      </x:c>
      <x:c r="S10" s="31" t="str">
        <x:v>Operator:
Date:</x:v>
      </x:c>
    </x:row>
    <x:row r="11" ht="120" customHeight="1">
      <x:c r="A11" s="31"/>
      <x:c r="B11" s="31"/>
      <x:c r="C11" s="35" t="str">
        <x:v>[Screenshot Placeholder]
Screen showing the DNS result and TcpTestSucceeded : True</x:v>
      </x:c>
      <x:c r="D11" s="35"/>
      <x:c r="E11" s="35"/>
      <x:c r="F11" s="35"/>
      <x:c r="G11" s="35"/>
      <x:c r="H11" s="35"/>
      <x:c r="I11" s="35"/>
      <x:c r="J11" s="35"/>
      <x:c r="K11" s="35"/>
      <x:c r="L11" s="35"/>
      <x:c r="M11" s="35"/>
      <x:c r="N11" s="35"/>
      <x:c r="O11" s="35"/>
      <x:c r="P11" s="35"/>
      <x:c r="Q11" s="21"/>
      <x:c r="R11" s="31"/>
      <x:c r="S11" s="31"/>
    </x:row>
    <x:row r="12" ht="120" customHeight="1">
      <x:c r="A12" s="31" t="n">
        <x:v>4</x:v>
      </x:c>
      <x:c r="B12" s="31" t="str">
        <x:v>□</x:v>
      </x:c>
      <x:c r="C12" s="21" t="str">
        <x:v>Prepare the temporary, installation, and evidence folders.
Use corporate-approved paths. Example:
New-Item -ItemType Directory -Path 'C:\Temp\MID' -Force
New-Item -ItemType Directory -Path 'C:\ServiceNow\MID Server' -Force
Do not run the MSI directly from a OneDrive-synchronized folder or network share.</x:v>
      </x:c>
      <x:c r="D12" s="21"/>
      <x:c r="E12" s="21"/>
      <x:c r="F12" s="21"/>
      <x:c r="G12" s="21"/>
      <x:c r="H12" s="21"/>
      <x:c r="I12" s="21"/>
      <x:c r="J12" s="21"/>
      <x:c r="K12" s="21"/>
      <x:c r="L12" s="21"/>
      <x:c r="M12" s="21"/>
      <x:c r="N12" s="21"/>
      <x:c r="O12" s="21"/>
      <x:c r="P12" s="21"/>
      <x:c r="Q12" s="21" t="str">
        <x:v>The paths are confirmed and the Windows service identity can be granted only the required permissions</x:v>
      </x:c>
      <x:c r="R12" s="31" t="str">
        <x:v>□</x:v>
      </x:c>
      <x:c r="S12" s="31" t="str">
        <x:v>Operator:
Date:</x:v>
      </x:c>
    </x:row>
    <x:row r="13" ht="120" customHeight="1">
      <x:c r="A13" s="31"/>
      <x:c r="B13" s="31"/>
      <x:c r="C13" s="35" t="str">
        <x:v>[Screenshot Placeholder]
Screen showing the prepared folders and available disk space</x:v>
      </x:c>
      <x:c r="D13" s="35"/>
      <x:c r="E13" s="35"/>
      <x:c r="F13" s="35"/>
      <x:c r="G13" s="35"/>
      <x:c r="H13" s="35"/>
      <x:c r="I13" s="35"/>
      <x:c r="J13" s="35"/>
      <x:c r="K13" s="35"/>
      <x:c r="L13" s="35"/>
      <x:c r="M13" s="35"/>
      <x:c r="N13" s="35"/>
      <x:c r="O13" s="35"/>
      <x:c r="P13" s="35"/>
      <x:c r="Q13" s="21"/>
      <x:c r="R13" s="31"/>
      <x:c r="S13" s="31"/>
    </x:row>
    <x:row r="14" ht="26" customHeight="1">
      <x:c r="A14" s="11" t="str">
        <x:v>B. Installer Acquisition</x:v>
      </x:c>
      <x:c r="B14" s="11"/>
      <x:c r="C14" s="11"/>
      <x:c r="D14" s="11"/>
      <x:c r="E14" s="11"/>
      <x:c r="F14" s="11"/>
      <x:c r="G14" s="11"/>
      <x:c r="H14" s="11"/>
      <x:c r="I14" s="11"/>
      <x:c r="J14" s="11"/>
      <x:c r="K14" s="11"/>
      <x:c r="L14" s="11"/>
      <x:c r="M14" s="11"/>
      <x:c r="N14" s="11"/>
      <x:c r="O14" s="11"/>
      <x:c r="P14" s="11"/>
      <x:c r="Q14" s="11"/>
      <x:c r="R14" s="11"/>
      <x:c r="S14" s="11"/>
    </x:row>
    <x:row r="15" ht="120" customHeight="1">
      <x:c r="A15" s="31" t="n">
        <x:v>5</x:v>
      </x:c>
      <x:c r="B15" s="31" t="str">
        <x:v>□</x:v>
      </x:c>
      <x:c r="C15" s="21" t="str">
        <x:v>Obtain the Windows MID Server installer from ServiceNow.
Log on to the corporate development instance and select the guided Windows installer (MSI) from the MID Server Install/Download flow. Do not select the Linux DEB, signature ZIP, or an obsolete manual ZIP package.</x:v>
      </x:c>
      <x:c r="D15" s="21"/>
      <x:c r="E15" s="21"/>
      <x:c r="F15" s="21"/>
      <x:c r="G15" s="21"/>
      <x:c r="H15" s="21"/>
      <x:c r="I15" s="21"/>
      <x:c r="J15" s="21"/>
      <x:c r="K15" s="21"/>
      <x:c r="L15" s="21"/>
      <x:c r="M15" s="21"/>
      <x:c r="N15" s="21"/>
      <x:c r="O15" s="21"/>
      <x:c r="P15" s="21"/>
      <x:c r="Q15" s="21" t="str">
        <x:v>The downloaded file is a Windows Installer package (.msi)</x:v>
      </x:c>
      <x:c r="R15" s="31" t="str">
        <x:v>□</x:v>
      </x:c>
      <x:c r="S15" s="31" t="str">
        <x:v>Operator:
Date:</x:v>
      </x:c>
    </x:row>
    <x:row r="16" ht="120" customHeight="1">
      <x:c r="A16" s="31"/>
      <x:c r="B16" s="31"/>
      <x:c r="C16" s="35" t="str">
        <x:v>[Screenshot Placeholder]
ServiceNow Windows installer selection and completed download screens with sensitive URL components masked</x:v>
      </x:c>
      <x:c r="D16" s="35"/>
      <x:c r="E16" s="35"/>
      <x:c r="F16" s="35"/>
      <x:c r="G16" s="35"/>
      <x:c r="H16" s="35"/>
      <x:c r="I16" s="35"/>
      <x:c r="J16" s="35"/>
      <x:c r="K16" s="35"/>
      <x:c r="L16" s="35"/>
      <x:c r="M16" s="35"/>
      <x:c r="N16" s="35"/>
      <x:c r="O16" s="35"/>
      <x:c r="P16" s="35"/>
      <x:c r="Q16" s="21"/>
      <x:c r="R16" s="31"/>
      <x:c r="S16" s="31"/>
    </x:row>
    <x:row r="17" ht="120" customHeight="1">
      <x:c r="A17" s="31" t="n">
        <x:v>6</x:v>
      </x:c>
      <x:c r="B17" s="31" t="str">
        <x:v>□</x:v>
      </x:c>
      <x:c r="C17" s="21" t="str">
        <x:v>Verify the MSI file details, hash, and signature.
Replace the placeholder with the actual file name.
Get-Item 'C:\Temp\MID\&lt;installer&gt;.msi' | Select Name,Length,LastWriteTime
Get-FileHash 'C:\Temp\MID\&lt;installer&gt;.msi' -Algorithm SHA256
Get-AuthenticodeSignature 'C:\Temp\MID\&lt;installer&gt;.msi' | Format-List Status,SignerCertificate</x:v>
      </x:c>
      <x:c r="D17" s="21"/>
      <x:c r="E17" s="21"/>
      <x:c r="F17" s="21"/>
      <x:c r="G17" s="21"/>
      <x:c r="H17" s="21"/>
      <x:c r="I17" s="21"/>
      <x:c r="J17" s="21"/>
      <x:c r="K17" s="21"/>
      <x:c r="L17" s="21"/>
      <x:c r="M17" s="21"/>
      <x:c r="N17" s="21"/>
      <x:c r="O17" s="21"/>
      <x:c r="P17" s="21"/>
      <x:c r="Q17" s="21" t="str">
        <x:v>The file type and source are correct and the corporate signature-verification requirements are satisfied</x:v>
      </x:c>
      <x:c r="R17" s="31" t="str">
        <x:v>□</x:v>
      </x:c>
      <x:c r="S17" s="31" t="str">
        <x:v>Operator:
Date:</x:v>
      </x:c>
    </x:row>
    <x:row r="18" ht="120" customHeight="1">
      <x:c r="A18" s="31"/>
      <x:c r="B18" s="31"/>
      <x:c r="C18" s="35" t="str">
        <x:v>[Screenshot Placeholder]
Screen showing the file name, size, acquisition time, SHA-256 hash, and signature status</x:v>
      </x:c>
      <x:c r="D18" s="35"/>
      <x:c r="E18" s="35"/>
      <x:c r="F18" s="35"/>
      <x:c r="G18" s="35"/>
      <x:c r="H18" s="35"/>
      <x:c r="I18" s="35"/>
      <x:c r="J18" s="35"/>
      <x:c r="K18" s="35"/>
      <x:c r="L18" s="35"/>
      <x:c r="M18" s="35"/>
      <x:c r="N18" s="35"/>
      <x:c r="O18" s="35"/>
      <x:c r="P18" s="35"/>
      <x:c r="Q18" s="21"/>
      <x:c r="R18" s="31"/>
      <x:c r="S18" s="31"/>
    </x:row>
    <x:row r="19" ht="26" customHeight="1">
      <x:c r="A19" s="11" t="str">
        <x:v>C. MID Server Installation</x:v>
      </x:c>
      <x:c r="B19" s="11"/>
      <x:c r="C19" s="11"/>
      <x:c r="D19" s="11"/>
      <x:c r="E19" s="11"/>
      <x:c r="F19" s="11"/>
      <x:c r="G19" s="11"/>
      <x:c r="H19" s="11"/>
      <x:c r="I19" s="11"/>
      <x:c r="J19" s="11"/>
      <x:c r="K19" s="11"/>
      <x:c r="L19" s="11"/>
      <x:c r="M19" s="11"/>
      <x:c r="N19" s="11"/>
      <x:c r="O19" s="11"/>
      <x:c r="P19" s="11"/>
      <x:c r="Q19" s="11"/>
      <x:c r="R19" s="11"/>
      <x:c r="S19" s="11"/>
    </x:row>
    <x:row r="20" ht="120" customHeight="1">
      <x:c r="A20" s="31" t="n">
        <x:v>7</x:v>
      </x:c>
      <x:c r="B20" s="31" t="str">
        <x:v>□</x:v>
      </x:c>
      <x:c r="C20" s="21" t="str">
        <x:v>Start the Windows installer with administrator privileges.
Right-click the MSI and run it as administrator. If a detailed installation log is required, run:
msiexec.exe /i 'C:\Temp\MID\&lt;installer&gt;.msi' /L*v 'C:\Windows\Temp\mid-install.log'
If SmartScreen or another security control blocks the installer, do not disable it without approval. Save the screen and contact the responsible team.</x:v>
      </x:c>
      <x:c r="D20" s="21"/>
      <x:c r="E20" s="21"/>
      <x:c r="F20" s="21"/>
      <x:c r="G20" s="21"/>
      <x:c r="H20" s="21"/>
      <x:c r="I20" s="21"/>
      <x:c r="J20" s="21"/>
      <x:c r="K20" s="21"/>
      <x:c r="L20" s="21"/>
      <x:c r="M20" s="21"/>
      <x:c r="N20" s="21"/>
      <x:c r="O20" s="21"/>
      <x:c r="P20" s="21"/>
      <x:c r="Q20" s="21" t="str">
        <x:v>The installer starts with administrator privileges and displays its first screen without an error</x:v>
      </x:c>
      <x:c r="R20" s="31" t="str">
        <x:v>□</x:v>
      </x:c>
      <x:c r="S20" s="31" t="str">
        <x:v>Operator:
Date:</x:v>
      </x:c>
    </x:row>
    <x:row r="21" ht="120" customHeight="1">
      <x:c r="A21" s="31"/>
      <x:c r="B21" s="31"/>
      <x:c r="C21" s="35" t="str">
        <x:v>[Screenshot Placeholder]
Installer startup or msiexec execution screen without sensitive parameters</x:v>
      </x:c>
      <x:c r="D21" s="35"/>
      <x:c r="E21" s="35"/>
      <x:c r="F21" s="35"/>
      <x:c r="G21" s="35"/>
      <x:c r="H21" s="35"/>
      <x:c r="I21" s="35"/>
      <x:c r="J21" s="35"/>
      <x:c r="K21" s="35"/>
      <x:c r="L21" s="35"/>
      <x:c r="M21" s="35"/>
      <x:c r="N21" s="35"/>
      <x:c r="O21" s="35"/>
      <x:c r="P21" s="35"/>
      <x:c r="Q21" s="21"/>
      <x:c r="R21" s="31"/>
      <x:c r="S21" s="31"/>
    </x:row>
    <x:row r="22" ht="120" customHeight="1">
      <x:c r="A22" s="31" t="n">
        <x:v>8</x:v>
      </x:c>
      <x:c r="B22" s="31" t="str">
        <x:v>□</x:v>
      </x:c>
      <x:c r="C22" s="21" t="str">
        <x:v>Configure the installation folder, Java, and startup options.
Enter the corporate-approved installation folder. Prefer the OpenJDK included or configured by the installer and do not change JAVA_HOME unless required. Set Start after installation according to the corporate standard.</x:v>
      </x:c>
      <x:c r="D22" s="21"/>
      <x:c r="E22" s="21"/>
      <x:c r="F22" s="21"/>
      <x:c r="G22" s="21"/>
      <x:c r="H22" s="21"/>
      <x:c r="I22" s="21"/>
      <x:c r="J22" s="21"/>
      <x:c r="K22" s="21"/>
      <x:c r="L22" s="21"/>
      <x:c r="M22" s="21"/>
      <x:c r="N22" s="21"/>
      <x:c r="O22" s="21"/>
      <x:c r="P22" s="21"/>
      <x:c r="Q22" s="21" t="str">
        <x:v>The installation path is correct and does not reference an old MID Server or another environment</x:v>
      </x:c>
      <x:c r="R22" s="31" t="str">
        <x:v>□</x:v>
      </x:c>
      <x:c r="S22" s="31" t="str">
        <x:v>Operator:
Date:</x:v>
      </x:c>
    </x:row>
    <x:row r="23" ht="120" customHeight="1">
      <x:c r="A23" s="31"/>
      <x:c r="B23" s="31"/>
      <x:c r="C23" s="35" t="str">
        <x:v>[Screenshot Placeholder]
Screen showing the installation folder, Java, and startup option selections</x:v>
      </x:c>
      <x:c r="D23" s="35"/>
      <x:c r="E23" s="35"/>
      <x:c r="F23" s="35"/>
      <x:c r="G23" s="35"/>
      <x:c r="H23" s="35"/>
      <x:c r="I23" s="35"/>
      <x:c r="J23" s="35"/>
      <x:c r="K23" s="35"/>
      <x:c r="L23" s="35"/>
      <x:c r="M23" s="35"/>
      <x:c r="N23" s="35"/>
      <x:c r="O23" s="35"/>
      <x:c r="P23" s="35"/>
      <x:c r="Q23" s="21"/>
      <x:c r="R23" s="31"/>
      <x:c r="S23" s="31"/>
    </x:row>
    <x:row r="24" ht="120" customHeight="1">
      <x:c r="A24" s="31" t="n">
        <x:v>9</x:v>
      </x:c>
      <x:c r="B24" s="31" t="str">
        <x:v>□</x:v>
      </x:c>
      <x:c r="C24" s="21" t="str">
        <x:v>Enter the ServiceNow connection details and MID Server name.
Enter the corporate development instance URL, the approved ServiceNow MID User, and the MID Server name. Configure proxy and mutual authentication according to the corporate design. Do not capture a screen while or after entering the password.</x:v>
      </x:c>
      <x:c r="D24" s="21"/>
      <x:c r="E24" s="21"/>
      <x:c r="F24" s="21"/>
      <x:c r="G24" s="21"/>
      <x:c r="H24" s="21"/>
      <x:c r="I24" s="21"/>
      <x:c r="J24" s="21"/>
      <x:c r="K24" s="21"/>
      <x:c r="L24" s="21"/>
      <x:c r="M24" s="21"/>
      <x:c r="N24" s="21"/>
      <x:c r="O24" s="21"/>
      <x:c r="P24" s="21"/>
      <x:c r="Q24" s="21" t="str">
        <x:v>The target instance and MID name match the values on the Overview sheet and the connection test succeeds</x:v>
      </x:c>
      <x:c r="R24" s="31" t="str">
        <x:v>□</x:v>
      </x:c>
      <x:c r="S24" s="31" t="str">
        <x:v>Operator:
Date:</x:v>
      </x:c>
    </x:row>
    <x:row r="25" ht="120" customHeight="1">
      <x:c r="A25" s="31"/>
      <x:c r="B25" s="31"/>
      <x:c r="C25" s="35" t="str">
        <x:v>[Screenshot Placeholder]
Screen showing the instance URL, MID name, and proxy settings; mask the user name when required</x:v>
      </x:c>
      <x:c r="D25" s="35"/>
      <x:c r="E25" s="35"/>
      <x:c r="F25" s="35"/>
      <x:c r="G25" s="35"/>
      <x:c r="H25" s="35"/>
      <x:c r="I25" s="35"/>
      <x:c r="J25" s="35"/>
      <x:c r="K25" s="35"/>
      <x:c r="L25" s="35"/>
      <x:c r="M25" s="35"/>
      <x:c r="N25" s="35"/>
      <x:c r="O25" s="35"/>
      <x:c r="P25" s="35"/>
      <x:c r="Q25" s="21"/>
      <x:c r="R25" s="31"/>
      <x:c r="S25" s="31"/>
    </x:row>
    <x:row r="26" ht="120" customHeight="1">
      <x:c r="A26" s="31" t="n">
        <x:v>10</x:v>
      </x:c>
      <x:c r="B26" s="31" t="str">
        <x:v>□</x:v>
      </x:c>
      <x:c r="C26" s="21" t="str">
        <x:v>Configure the Windows service identity.
Select the approved Windows service identity. Do not use a personal account or the installation administrator for long-term service execution. Confirm Log on as a service and the required read, write, and execute permissions on the installation folder. Do not capture the password screen.</x:v>
      </x:c>
      <x:c r="D26" s="21"/>
      <x:c r="E26" s="21"/>
      <x:c r="F26" s="21"/>
      <x:c r="G26" s="21"/>
      <x:c r="H26" s="21"/>
      <x:c r="I26" s="21"/>
      <x:c r="J26" s="21"/>
      <x:c r="K26" s="21"/>
      <x:c r="L26" s="21"/>
      <x:c r="M26" s="21"/>
      <x:c r="N26" s="21"/>
      <x:c r="O26" s="21"/>
      <x:c r="P26" s="21"/>
      <x:c r="Q26" s="21" t="str">
        <x:v>The service identity is approved and its required permissions and password-lifecycle handling are confirmed</x:v>
      </x:c>
      <x:c r="R26" s="31" t="str">
        <x:v>□</x:v>
      </x:c>
      <x:c r="S26" s="31" t="str">
        <x:v>Operator:
Date:</x:v>
      </x:c>
    </x:row>
    <x:row r="27" ht="120" customHeight="1">
      <x:c r="A27" s="31"/>
      <x:c r="B27" s="31"/>
      <x:c r="C27" s="35" t="str">
        <x:v>[Screenshot Placeholder]
Service identity selection screen with the account name masked when required</x:v>
      </x:c>
      <x:c r="D27" s="35"/>
      <x:c r="E27" s="35"/>
      <x:c r="F27" s="35"/>
      <x:c r="G27" s="35"/>
      <x:c r="H27" s="35"/>
      <x:c r="I27" s="35"/>
      <x:c r="J27" s="35"/>
      <x:c r="K27" s="35"/>
      <x:c r="L27" s="35"/>
      <x:c r="M27" s="35"/>
      <x:c r="N27" s="35"/>
      <x:c r="O27" s="35"/>
      <x:c r="P27" s="35"/>
      <x:c r="Q27" s="21"/>
      <x:c r="R27" s="31"/>
      <x:c r="S27" s="31"/>
    </x:row>
    <x:row r="28" ht="120" customHeight="1">
      <x:c r="A28" s="31" t="n">
        <x:v>11</x:v>
      </x:c>
      <x:c r="B28" s="31" t="str">
        <x:v>□</x:v>
      </x:c>
      <x:c r="C28" s="21" t="str">
        <x:v>Complete the installation and save the completion screen.
Review the settings and select Install/Finish. Do not forcibly close the installer while it is processing. Do not mix the MSI workflow with start.bat from the manual ZIP workflow.</x:v>
      </x:c>
      <x:c r="D28" s="21"/>
      <x:c r="E28" s="21"/>
      <x:c r="F28" s="21"/>
      <x:c r="G28" s="21"/>
      <x:c r="H28" s="21"/>
      <x:c r="I28" s="21"/>
      <x:c r="J28" s="21"/>
      <x:c r="K28" s="21"/>
      <x:c r="L28" s="21"/>
      <x:c r="M28" s="21"/>
      <x:c r="N28" s="21"/>
      <x:c r="O28" s="21"/>
      <x:c r="P28" s="21"/>
      <x:c r="Q28" s="21" t="str">
        <x:v>The installer completes successfully and creates the MID Server agent directory and Windows service</x:v>
      </x:c>
      <x:c r="R28" s="31" t="str">
        <x:v>□</x:v>
      </x:c>
      <x:c r="S28" s="31" t="str">
        <x:v>Operator:
Date:</x:v>
      </x:c>
    </x:row>
    <x:row r="29" ht="120" customHeight="1">
      <x:c r="A29" s="31"/>
      <x:c r="B29" s="31"/>
      <x:c r="C29" s="35" t="str">
        <x:v>[Screenshot Placeholder]
Installation completed/Finish screen and the agent directory under the installation folder</x:v>
      </x:c>
      <x:c r="D29" s="35"/>
      <x:c r="E29" s="35"/>
      <x:c r="F29" s="35"/>
      <x:c r="G29" s="35"/>
      <x:c r="H29" s="35"/>
      <x:c r="I29" s="35"/>
      <x:c r="J29" s="35"/>
      <x:c r="K29" s="35"/>
      <x:c r="L29" s="35"/>
      <x:c r="M29" s="35"/>
      <x:c r="N29" s="35"/>
      <x:c r="O29" s="35"/>
      <x:c r="P29" s="35"/>
      <x:c r="Q29" s="21"/>
      <x:c r="R29" s="31"/>
      <x:c r="S29" s="31"/>
    </x:row>
    <x:row r="30" ht="26" customHeight="1">
      <x:c r="A30" s="11" t="str">
        <x:v>D. Windows-Side Operational Checks</x:v>
      </x:c>
      <x:c r="B30" s="11"/>
      <x:c r="C30" s="11"/>
      <x:c r="D30" s="11"/>
      <x:c r="E30" s="11"/>
      <x:c r="F30" s="11"/>
      <x:c r="G30" s="11"/>
      <x:c r="H30" s="11"/>
      <x:c r="I30" s="11"/>
      <x:c r="J30" s="11"/>
      <x:c r="K30" s="11"/>
      <x:c r="L30" s="11"/>
      <x:c r="M30" s="11"/>
      <x:c r="N30" s="11"/>
      <x:c r="O30" s="11"/>
      <x:c r="P30" s="11"/>
      <x:c r="Q30" s="11"/>
      <x:c r="R30" s="11"/>
      <x:c r="S30" s="11"/>
    </x:row>
    <x:row r="31" ht="120" customHeight="1">
      <x:c r="A31" s="31" t="n">
        <x:v>12</x:v>
      </x:c>
      <x:c r="B31" s="31" t="str">
        <x:v>□</x:v>
      </x:c>
      <x:c r="C31" s="21" t="str">
        <x:v>Verify the Windows service state, startup mode, execution identity, and path.
Use services.msc or an elevated PowerShell window.
Get-CimInstance Win32_Service | Where-Object {$_.PathName -like '*agent*'} | Select Name,State,StartMode,StartName,PathName
Get-Service | Where-Object {$_.DisplayName -like '*MID*' -or $_.Name -like '*MID*'}</x:v>
      </x:c>
      <x:c r="D31" s="21"/>
      <x:c r="E31" s="21"/>
      <x:c r="F31" s="21"/>
      <x:c r="G31" s="21"/>
      <x:c r="H31" s="21"/>
      <x:c r="I31" s="21"/>
      <x:c r="J31" s="21"/>
      <x:c r="K31" s="21"/>
      <x:c r="L31" s="21"/>
      <x:c r="M31" s="21"/>
      <x:c r="N31" s="21"/>
      <x:c r="O31" s="21"/>
      <x:c r="P31" s="21"/>
      <x:c r="Q31" s="21" t="str">
        <x:v>State is Running, StartMode is Automatic or follows the corporate standard, and the identity and path are correct</x:v>
      </x:c>
      <x:c r="R31" s="31" t="str">
        <x:v>□</x:v>
      </x:c>
      <x:c r="S31" s="31" t="str">
        <x:v>Operator:
Date:</x:v>
      </x:c>
    </x:row>
    <x:row r="32" ht="120" customHeight="1">
      <x:c r="A32" s="31"/>
      <x:c r="B32" s="31"/>
      <x:c r="C32" s="35" t="str">
        <x:v>[Screenshot Placeholder]
Screen showing the service name, Running state, Automatic startup, StartName, and PathName</x:v>
      </x:c>
      <x:c r="D32" s="35"/>
      <x:c r="E32" s="35"/>
      <x:c r="F32" s="35"/>
      <x:c r="G32" s="35"/>
      <x:c r="H32" s="35"/>
      <x:c r="I32" s="35"/>
      <x:c r="J32" s="35"/>
      <x:c r="K32" s="35"/>
      <x:c r="L32" s="35"/>
      <x:c r="M32" s="35"/>
      <x:c r="N32" s="35"/>
      <x:c r="O32" s="35"/>
      <x:c r="P32" s="35"/>
      <x:c r="Q32" s="21"/>
      <x:c r="R32" s="31"/>
      <x:c r="S32" s="31"/>
    </x:row>
    <x:row r="33" ht="120" customHeight="1">
      <x:c r="A33" s="31" t="n">
        <x:v>13</x:v>
      </x:c>
      <x:c r="B33" s="31" t="str">
        <x:v>□</x:v>
      </x:c>
      <x:c r="C33" s="21" t="str">
        <x:v>Confirm that the MID Server logs contain no persistent errors.
Replace &lt;MID_HOME&gt; with the actual installation path.
Get-ChildItem '&lt;MID_HOME&gt;\agent\logs'
Get-Content '&lt;MID_HOME&gt;\agent\logs\agent0.log.0' -Tail 100
Get-Content '&lt;MID_HOME&gt;\agent\logs\wrapper.log' -Tail 100
Before sharing logs, mask URLs, account names, tokens, and other sensitive data.</x:v>
      </x:c>
      <x:c r="D33" s="21"/>
      <x:c r="E33" s="21"/>
      <x:c r="F33" s="21"/>
      <x:c r="G33" s="21"/>
      <x:c r="H33" s="21"/>
      <x:c r="I33" s="21"/>
      <x:c r="J33" s="21"/>
      <x:c r="K33" s="21"/>
      <x:c r="L33" s="21"/>
      <x:c r="M33" s="21"/>
      <x:c r="N33" s="21"/>
      <x:c r="O33" s="21"/>
      <x:c r="P33" s="21"/>
      <x:c r="Q33" s="21" t="str">
        <x:v>There are no persistent restart-loop, authentication, certificate, proxy, or instance URL errors</x:v>
      </x:c>
      <x:c r="R33" s="31" t="str">
        <x:v>□</x:v>
      </x:c>
      <x:c r="S33" s="31" t="str">
        <x:v>Operator:
Date:</x:v>
      </x:c>
    </x:row>
    <x:row r="34" ht="120" customHeight="1">
      <x:c r="A34" s="31"/>
      <x:c r="B34" s="31"/>
      <x:c r="C34" s="35" t="str">
        <x:v>[Screenshot Placeholder]
Logs folder and the end of agent0.log.0 and wrapper.log with sensitive data masked</x:v>
      </x:c>
      <x:c r="D34" s="35"/>
      <x:c r="E34" s="35"/>
      <x:c r="F34" s="35"/>
      <x:c r="G34" s="35"/>
      <x:c r="H34" s="35"/>
      <x:c r="I34" s="35"/>
      <x:c r="J34" s="35"/>
      <x:c r="K34" s="35"/>
      <x:c r="L34" s="35"/>
      <x:c r="M34" s="35"/>
      <x:c r="N34" s="35"/>
      <x:c r="O34" s="35"/>
      <x:c r="P34" s="35"/>
      <x:c r="Q34" s="21"/>
      <x:c r="R34" s="31"/>
      <x:c r="S34" s="31"/>
    </x:row>
    <x:row r="35" ht="120" customHeight="1">
      <x:c r="A35" s="31" t="n">
        <x:v>14</x:v>
      </x:c>
      <x:c r="B35" s="31" t="str">
        <x:v>□</x:v>
      </x:c>
      <x:c r="C35" s="21" t="str">
        <x:v>Confirm that the target MID Server record appears in ServiceNow.
Search the ServiceNow MID Servers list for the configured MID Server name and confirm that the record has been created. This step verifies only the initial connection. Perform detailed validation, capability, and IP range configuration in the ServiceNow MID Server Registration Procedure.</x:v>
      </x:c>
      <x:c r="D35" s="21"/>
      <x:c r="E35" s="21"/>
      <x:c r="F35" s="21"/>
      <x:c r="G35" s="21"/>
      <x:c r="H35" s="21"/>
      <x:c r="I35" s="21"/>
      <x:c r="J35" s="21"/>
      <x:c r="K35" s="21"/>
      <x:c r="L35" s="21"/>
      <x:c r="M35" s="21"/>
      <x:c r="N35" s="21"/>
      <x:c r="O35" s="21"/>
      <x:c r="P35" s="21"/>
      <x:c r="Q35" s="21" t="str">
        <x:v>The target MID record appears and its name and host information correspond to the Windows VM</x:v>
      </x:c>
      <x:c r="R35" s="31" t="str">
        <x:v>□</x:v>
      </x:c>
      <x:c r="S35" s="31" t="str">
        <x:v>Operator:
Date:</x:v>
      </x:c>
    </x:row>
    <x:row r="36" ht="120" customHeight="1">
      <x:c r="A36" s="31"/>
      <x:c r="B36" s="31"/>
      <x:c r="C36" s="35" t="str">
        <x:v>[Screenshot Placeholder]
MID Servers list showing the target name with unrelated MID Servers masked</x:v>
      </x:c>
      <x:c r="D36" s="35"/>
      <x:c r="E36" s="35"/>
      <x:c r="F36" s="35"/>
      <x:c r="G36" s="35"/>
      <x:c r="H36" s="35"/>
      <x:c r="I36" s="35"/>
      <x:c r="J36" s="35"/>
      <x:c r="K36" s="35"/>
      <x:c r="L36" s="35"/>
      <x:c r="M36" s="35"/>
      <x:c r="N36" s="35"/>
      <x:c r="O36" s="35"/>
      <x:c r="P36" s="35"/>
      <x:c r="Q36" s="21"/>
      <x:c r="R36" s="31"/>
      <x:c r="S36" s="31"/>
    </x:row>
    <x:row r="37" ht="26" customHeight="1">
      <x:c r="A37" s="11" t="str">
        <x:v>E. Completion and Handover</x:v>
      </x:c>
      <x:c r="B37" s="11"/>
      <x:c r="C37" s="11"/>
      <x:c r="D37" s="11"/>
      <x:c r="E37" s="11"/>
      <x:c r="F37" s="11"/>
      <x:c r="G37" s="11"/>
      <x:c r="H37" s="11"/>
      <x:c r="I37" s="11"/>
      <x:c r="J37" s="11"/>
      <x:c r="K37" s="11"/>
      <x:c r="L37" s="11"/>
      <x:c r="M37" s="11"/>
      <x:c r="N37" s="11"/>
      <x:c r="O37" s="11"/>
      <x:c r="P37" s="11"/>
      <x:c r="Q37" s="11"/>
      <x:c r="R37" s="11"/>
      <x:c r="S37" s="11"/>
    </x:row>
    <x:row r="38" ht="120" customHeight="1">
      <x:c r="A38" s="31" t="n">
        <x:v>15</x:v>
      </x:c>
      <x:c r="B38" s="31" t="str">
        <x:v>□</x:v>
      </x:c>
      <x:c r="C38" s="21" t="str">
        <x:v>Organize the evidence and hand over to the registration procedure owner.
Remove passwords, cookies, temporary URLs, tokens, personal information, and unrelated accounts from all screenshots and logs. Set every Done and Verify field to ■, then store the MSI name, hash, installation folder, service details, logs, and MID Servers list in the evidence folder.</x:v>
      </x:c>
      <x:c r="D38" s="21"/>
      <x:c r="E38" s="21"/>
      <x:c r="F38" s="21"/>
      <x:c r="G38" s="21"/>
      <x:c r="H38" s="21"/>
      <x:c r="I38" s="21"/>
      <x:c r="J38" s="21"/>
      <x:c r="K38" s="21"/>
      <x:c r="L38" s="21"/>
      <x:c r="M38" s="21"/>
      <x:c r="N38" s="21"/>
      <x:c r="O38" s="21"/>
      <x:c r="P38" s="21"/>
      <x:c r="Q38" s="21" t="str">
        <x:v>All five Windows build completion criteria are satisfied and the required information can be handed over for registration</x:v>
      </x:c>
      <x:c r="R38" s="31" t="str">
        <x:v>□</x:v>
      </x:c>
      <x:c r="S38" s="31" t="str">
        <x:v>Operator:
Date:</x:v>
      </x:c>
    </x:row>
    <x:row r="39" ht="120" customHeight="1">
      <x:c r="A39" s="31"/>
      <x:c r="B39" s="31"/>
      <x:c r="C39" s="35" t="str">
        <x:v>[Screenshot Placeholder]
Evidence-folder structure and this sheet showing all Done and Verify fields complete</x:v>
      </x:c>
      <x:c r="D39" s="35"/>
      <x:c r="E39" s="35"/>
      <x:c r="F39" s="35"/>
      <x:c r="G39" s="35"/>
      <x:c r="H39" s="35"/>
      <x:c r="I39" s="35"/>
      <x:c r="J39" s="35"/>
      <x:c r="K39" s="35"/>
      <x:c r="L39" s="35"/>
      <x:c r="M39" s="35"/>
      <x:c r="N39" s="35"/>
      <x:c r="O39" s="35"/>
      <x:c r="P39" s="35"/>
      <x:c r="Q39" s="21"/>
      <x:c r="R39" s="31"/>
      <x:c r="S39" s="31"/>
    </x:row>
    <x:row r="40" ht="30" customHeight="1">
      <x:c r="A40" s="8" t="str">
        <x:v>Note: If the corporate environment differs from this procedure, follow the actual approved screen and record the difference and rationale in the notes or revision history.</x:v>
      </x:c>
      <x:c r="B40" s="8"/>
      <x:c r="C40" s="8"/>
      <x:c r="D40" s="8"/>
      <x:c r="E40" s="8"/>
      <x:c r="F40" s="8"/>
      <x:c r="G40" s="8"/>
      <x:c r="H40" s="8"/>
      <x:c r="I40" s="8"/>
      <x:c r="J40" s="8"/>
      <x:c r="K40" s="8"/>
      <x:c r="L40" s="8"/>
      <x:c r="M40" s="8"/>
      <x:c r="N40" s="8"/>
      <x:c r="O40" s="8"/>
      <x:c r="P40" s="8"/>
      <x:c r="Q40" s="8"/>
      <x:c r="R40" s="8"/>
      <x:c r="S40" s="8"/>
    </x:row>
  </x:sheetData>
  <x:mergeCells>
    <x:mergeCell ref="A1:S1"/>
    <x:mergeCell ref="A2:S2"/>
    <x:mergeCell ref="C4:P4"/>
    <x:mergeCell ref="A5:S5"/>
    <x:mergeCell ref="A6:A7"/>
    <x:mergeCell ref="B6:B7"/>
    <x:mergeCell ref="C6:P6"/>
    <x:mergeCell ref="C7:P7"/>
    <x:mergeCell ref="Q6:Q7"/>
    <x:mergeCell ref="R6:R7"/>
    <x:mergeCell ref="S6:S7"/>
    <x:mergeCell ref="A8:A9"/>
    <x:mergeCell ref="B8:B9"/>
    <x:mergeCell ref="C8:P8"/>
    <x:mergeCell ref="C9:P9"/>
    <x:mergeCell ref="Q8:Q9"/>
    <x:mergeCell ref="R8:R9"/>
    <x:mergeCell ref="S8:S9"/>
    <x:mergeCell ref="A10:A11"/>
    <x:mergeCell ref="B10:B11"/>
    <x:mergeCell ref="C10:P10"/>
    <x:mergeCell ref="C11:P11"/>
    <x:mergeCell ref="Q10:Q11"/>
    <x:mergeCell ref="R10:R11"/>
    <x:mergeCell ref="S10:S11"/>
    <x:mergeCell ref="A12:A13"/>
    <x:mergeCell ref="B12:B13"/>
    <x:mergeCell ref="C12:P12"/>
    <x:mergeCell ref="C13:P13"/>
    <x:mergeCell ref="Q12:Q13"/>
    <x:mergeCell ref="R12:R13"/>
    <x:mergeCell ref="S12:S13"/>
    <x:mergeCell ref="A14:S14"/>
    <x:mergeCell ref="A15:A16"/>
    <x:mergeCell ref="B15:B16"/>
    <x:mergeCell ref="C15:P15"/>
    <x:mergeCell ref="C16:P16"/>
    <x:mergeCell ref="Q15:Q16"/>
    <x:mergeCell ref="R15:R16"/>
    <x:mergeCell ref="S15:S16"/>
    <x:mergeCell ref="A17:A18"/>
    <x:mergeCell ref="B17:B18"/>
    <x:mergeCell ref="C17:P17"/>
    <x:mergeCell ref="C18:P18"/>
    <x:mergeCell ref="Q17:Q18"/>
    <x:mergeCell ref="R17:R18"/>
    <x:mergeCell ref="S17:S18"/>
    <x:mergeCell ref="A19:S19"/>
    <x:mergeCell ref="A20:A21"/>
    <x:mergeCell ref="B20:B21"/>
    <x:mergeCell ref="C20:P20"/>
    <x:mergeCell ref="C21:P21"/>
    <x:mergeCell ref="Q20:Q21"/>
    <x:mergeCell ref="R20:R21"/>
    <x:mergeCell ref="S20:S21"/>
    <x:mergeCell ref="A22:A23"/>
    <x:mergeCell ref="B22:B23"/>
    <x:mergeCell ref="C22:P22"/>
    <x:mergeCell ref="C23:P23"/>
    <x:mergeCell ref="Q22:Q23"/>
    <x:mergeCell ref="R22:R23"/>
    <x:mergeCell ref="S22:S23"/>
    <x:mergeCell ref="A24:A25"/>
    <x:mergeCell ref="B24:B25"/>
    <x:mergeCell ref="C24:P24"/>
    <x:mergeCell ref="C25:P25"/>
    <x:mergeCell ref="Q24:Q25"/>
    <x:mergeCell ref="R24:R25"/>
    <x:mergeCell ref="S24:S25"/>
    <x:mergeCell ref="A26:A27"/>
    <x:mergeCell ref="B26:B27"/>
    <x:mergeCell ref="C26:P26"/>
    <x:mergeCell ref="C27:P27"/>
    <x:mergeCell ref="Q26:Q27"/>
    <x:mergeCell ref="R26:R27"/>
    <x:mergeCell ref="S26:S27"/>
    <x:mergeCell ref="A28:A29"/>
    <x:mergeCell ref="B28:B29"/>
    <x:mergeCell ref="C28:P28"/>
    <x:mergeCell ref="C29:P29"/>
    <x:mergeCell ref="Q28:Q29"/>
    <x:mergeCell ref="R28:R29"/>
    <x:mergeCell ref="S28:S29"/>
    <x:mergeCell ref="A30:S30"/>
    <x:mergeCell ref="A31:A32"/>
    <x:mergeCell ref="B31:B32"/>
    <x:mergeCell ref="C31:P31"/>
    <x:mergeCell ref="C32:P32"/>
    <x:mergeCell ref="Q31:Q32"/>
    <x:mergeCell ref="R31:R32"/>
    <x:mergeCell ref="S31:S32"/>
    <x:mergeCell ref="A33:A34"/>
    <x:mergeCell ref="B33:B34"/>
    <x:mergeCell ref="C33:P33"/>
    <x:mergeCell ref="C34:P34"/>
    <x:mergeCell ref="Q33:Q34"/>
    <x:mergeCell ref="R33:R34"/>
    <x:mergeCell ref="S33:S34"/>
    <x:mergeCell ref="A35:A36"/>
    <x:mergeCell ref="B35:B36"/>
    <x:mergeCell ref="C35:P35"/>
    <x:mergeCell ref="C36:P36"/>
    <x:mergeCell ref="Q35:Q36"/>
    <x:mergeCell ref="R35:R36"/>
    <x:mergeCell ref="S35:S36"/>
    <x:mergeCell ref="A37:S37"/>
    <x:mergeCell ref="A38:A39"/>
    <x:mergeCell ref="B38:B39"/>
    <x:mergeCell ref="C38:P38"/>
    <x:mergeCell ref="C39:P39"/>
    <x:mergeCell ref="Q38:Q39"/>
    <x:mergeCell ref="R38:R39"/>
    <x:mergeCell ref="S38:S39"/>
    <x:mergeCell ref="A40:S40"/>
  </x:mergeCells>
  <x:dataValidations count="30">
    <x:dataValidation type="list" sqref="B6">
      <x:formula1>"□,■"</x:formula1>
    </x:dataValidation>
    <x:dataValidation type="list" sqref="R6">
      <x:formula1>"□,■"</x:formula1>
    </x:dataValidation>
    <x:dataValidation type="list" sqref="B8">
      <x:formula1>"□,■"</x:formula1>
    </x:dataValidation>
    <x:dataValidation type="list" sqref="R8">
      <x:formula1>"□,■"</x:formula1>
    </x:dataValidation>
    <x:dataValidation type="list" sqref="B10">
      <x:formula1>"□,■"</x:formula1>
    </x:dataValidation>
    <x:dataValidation type="list" sqref="R10">
      <x:formula1>"□,■"</x:formula1>
    </x:dataValidation>
    <x:dataValidation type="list" sqref="B12">
      <x:formula1>"□,■"</x:formula1>
    </x:dataValidation>
    <x:dataValidation type="list" sqref="R12">
      <x:formula1>"□,■"</x:formula1>
    </x:dataValidation>
    <x:dataValidation type="list" sqref="B15">
      <x:formula1>"□,■"</x:formula1>
    </x:dataValidation>
    <x:dataValidation type="list" sqref="R15">
      <x:formula1>"□,■"</x:formula1>
    </x:dataValidation>
    <x:dataValidation type="list" sqref="B17">
      <x:formula1>"□,■"</x:formula1>
    </x:dataValidation>
    <x:dataValidation type="list" sqref="R17">
      <x:formula1>"□,■"</x:formula1>
    </x:dataValidation>
    <x:dataValidation type="list" sqref="B20">
      <x:formula1>"□,■"</x:formula1>
    </x:dataValidation>
    <x:dataValidation type="list" sqref="R20">
      <x:formula1>"□,■"</x:formula1>
    </x:dataValidation>
    <x:dataValidation type="list" sqref="B22">
      <x:formula1>"□,■"</x:formula1>
    </x:dataValidation>
    <x:dataValidation type="list" sqref="R22">
      <x:formula1>"□,■"</x:formula1>
    </x:dataValidation>
    <x:dataValidation type="list" sqref="B24">
      <x:formula1>"□,■"</x:formula1>
    </x:dataValidation>
    <x:dataValidation type="list" sqref="R24">
      <x:formula1>"□,■"</x:formula1>
    </x:dataValidation>
    <x:dataValidation type="list" sqref="B26">
      <x:formula1>"□,■"</x:formula1>
    </x:dataValidation>
    <x:dataValidation type="list" sqref="R26">
      <x:formula1>"□,■"</x:formula1>
    </x:dataValidation>
    <x:dataValidation type="list" sqref="B28">
      <x:formula1>"□,■"</x:formula1>
    </x:dataValidation>
    <x:dataValidation type="list" sqref="R28">
      <x:formula1>"□,■"</x:formula1>
    </x:dataValidation>
    <x:dataValidation type="list" sqref="B31">
      <x:formula1>"□,■"</x:formula1>
    </x:dataValidation>
    <x:dataValidation type="list" sqref="R31">
      <x:formula1>"□,■"</x:formula1>
    </x:dataValidation>
    <x:dataValidation type="list" sqref="B33">
      <x:formula1>"□,■"</x:formula1>
    </x:dataValidation>
    <x:dataValidation type="list" sqref="R33">
      <x:formula1>"□,■"</x:formula1>
    </x:dataValidation>
    <x:dataValidation type="list" sqref="B35">
      <x:formula1>"□,■"</x:formula1>
    </x:dataValidation>
    <x:dataValidation type="list" sqref="R35">
      <x:formula1>"□,■"</x:formula1>
    </x:dataValidation>
    <x:dataValidation type="list" sqref="B38">
      <x:formula1>"□,■"</x:formula1>
    </x:dataValidation>
    <x:dataValidation type="list" sqref="R38">
      <x:formula1>"□,■"</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6.25" hidden="0" customWidth="1"/>
    <x:col min="2" max="2" width="28.75" hidden="0" customWidth="1"/>
    <x:col min="3" max="3" width="35" hidden="0" customWidth="1"/>
    <x:col min="4" max="4" width="38.75" hidden="0" customWidth="1"/>
    <x:col min="5" max="5" width="41.25" hidden="0" customWidth="1"/>
    <x:col min="6" max="6" width="41.25" hidden="0" customWidth="1"/>
  </x:cols>
  <x:sheetData>
    <x:row r="1">
      <x:c r="A1" s="3" t="str">
        <x:v>Windows MID Server | Troubleshooting</x:v>
      </x:c>
      <x:c r="B1" s="3"/>
      <x:c r="C1" s="3"/>
      <x:c r="D1" s="3"/>
      <x:c r="E1" s="3"/>
      <x:c r="F1" s="3"/>
    </x:row>
    <x:row r="3">
      <x:c r="A3" s="23" t="str">
        <x:v>No.</x:v>
      </x:c>
      <x:c r="B3" s="23" t="str">
        <x:v>Symptom</x:v>
      </x:c>
      <x:c r="C3" s="23" t="str">
        <x:v>Likely Cause</x:v>
      </x:c>
      <x:c r="D3" s="23" t="str">
        <x:v>Checks</x:v>
      </x:c>
      <x:c r="E3" s="23" t="str">
        <x:v>Action</x:v>
      </x:c>
      <x:c r="F3" s="23" t="str">
        <x:v>Escalation / Evidence</x:v>
      </x:c>
    </x:row>
    <x:row r="4" ht="84" customHeight="1">
      <x:c r="A4" s="24" t="n">
        <x:v>1</x:v>
      </x:c>
      <x:c r="B4" s="21" t="str">
        <x:v>The MSI does not start or is blocked</x:v>
      </x:c>
      <x:c r="C4" s="21" t="str">
        <x:v>SmartScreen, Defender, or corporate antivirus</x:v>
      </x:c>
      <x:c r="D4" s="21" t="str">
        <x:v>Block screen, Event Viewer, and signature status</x:v>
      </x:c>
      <x:c r="E4" s="21" t="str">
        <x:v>Follow the corporate approval process without disabling security controls</x:v>
      </x:c>
      <x:c r="F4" s="21" t="str">
        <x:v>Send the block screen, hash, and signature result to the Security team</x:v>
      </x:c>
    </x:row>
    <x:row r="5" ht="84" customHeight="1">
      <x:c r="A5" s="24" t="n">
        <x:v>2</x:v>
      </x:c>
      <x:c r="B5" s="21" t="str">
        <x:v>Cannot write to the installation folder</x:v>
      </x:c>
      <x:c r="C5" s="21" t="str">
        <x:v>Insufficient administrator privileges or folder ACL</x:v>
      </x:c>
      <x:c r="D5" s="21" t="str">
        <x:v>Folder ACL, execution identity, and MSI log</x:v>
      </x:c>
      <x:c r="E5" s="21" t="str">
        <x:v>Install as administrator and grant the service identity only the required permissions</x:v>
      </x:c>
      <x:c r="F5" s="21" t="str">
        <x:v>Send the ACL and MSI log to the Platform team</x:v>
      </x:c>
    </x:row>
    <x:row r="6" ht="84" customHeight="1">
      <x:c r="A6" s="24" t="n">
        <x:v>3</x:v>
      </x:c>
      <x:c r="B6" s="21" t="str">
        <x:v>The Windows service cannot be created</x:v>
      </x:c>
      <x:c r="C6" s="21" t="str">
        <x:v>Service identity format, permissions, or password</x:v>
      </x:c>
      <x:c r="D6" s="21" t="str">
        <x:v>MSI log, identity status, and Log on as a service</x:v>
      </x:c>
      <x:c r="E6" s="21" t="str">
        <x:v>Confirm the approved identity and policy</x:v>
      </x:c>
      <x:c r="F6" s="21" t="str">
        <x:v>Send the account request record and error to the Identity Management team</x:v>
      </x:c>
    </x:row>
    <x:row r="7" ht="84" customHeight="1">
      <x:c r="A7" s="24" t="n">
        <x:v>4</x:v>
      </x:c>
      <x:c r="B7" s="21" t="str">
        <x:v>The service does not start</x:v>
      </x:c>
      <x:c r="C7" s="21" t="str">
        <x:v>StartName, password, path, or ACL</x:v>
      </x:c>
      <x:c r="D7" s="21" t="str">
        <x:v>services.msc, Event Viewer, and wrapper.log</x:v>
      </x:c>
      <x:c r="E7" s="21" t="str">
        <x:v>Correct the identity, path, or permissions, then attempt one restart</x:v>
      </x:c>
      <x:c r="F7" s="21" t="str">
        <x:v>Send the error time and related logs to the Platform team</x:v>
      </x:c>
    </x:row>
    <x:row r="8" ht="84" customHeight="1">
      <x:c r="A8" s="24" t="n">
        <x:v>5</x:v>
      </x:c>
      <x:c r="B8" s="21" t="str">
        <x:v>The service repeatedly restarts</x:v>
      </x:c>
      <x:c r="C8" s="21" t="str">
        <x:v>Java, memory, configuration, or security software</x:v>
      </x:c>
      <x:c r="D8" s="21" t="str">
        <x:v>wrapper.log, agent0.log.0, and Event Viewer</x:v>
      </x:c>
      <x:c r="E8" s="21" t="str">
        <x:v>Recheck installer settings without changing JAVA_HOME without approval</x:v>
      </x:c>
      <x:c r="F8" s="21" t="str">
        <x:v>Mask the logs and send them to the ServiceNow team</x:v>
      </x:c>
    </x:row>
    <x:row r="9" ht="84" customHeight="1">
      <x:c r="A9" s="24" t="n">
        <x:v>6</x:v>
      </x:c>
      <x:c r="B9" s="21" t="str">
        <x:v>The instance URL connection test fails</x:v>
      </x:c>
      <x:c r="C9" s="21" t="str">
        <x:v>DNS, port 443, proxy, TLS, or an incorrect URL</x:v>
      </x:c>
      <x:c r="D9" s="21" t="str">
        <x:v>Resolve-DnsName, Test-NetConnection, and proxy settings</x:v>
      </x:c>
      <x:c r="E9" s="21" t="str">
        <x:v>Confirm the FQDN and corporate network design</x:v>
      </x:c>
      <x:c r="F9" s="21" t="str">
        <x:v>Send the connectivity results to the Network team</x:v>
      </x:c>
    </x:row>
    <x:row r="10" ht="84" customHeight="1">
      <x:c r="A10" s="24" t="n">
        <x:v>7</x:v>
      </x:c>
      <x:c r="B10" s="21" t="str">
        <x:v>MID User authentication fails</x:v>
      </x:c>
      <x:c r="C10" s="21" t="str">
        <x:v>Role, password, locked user, or incorrect environment</x:v>
      </x:c>
      <x:c r="D10" s="21" t="str">
        <x:v>User status, role, instance URL, and logs</x:v>
      </x:c>
      <x:c r="E10" s="21" t="str">
        <x:v>Confirm the dedicated MID User and target development instance</x:v>
      </x:c>
      <x:c r="F10" s="21" t="str">
        <x:v>Send the error without the password to the ServiceNow administrator</x:v>
      </x:c>
    </x:row>
    <x:row r="11" ht="84" customHeight="1">
      <x:c r="A11" s="24" t="n">
        <x:v>8</x:v>
      </x:c>
      <x:c r="B11" s="21" t="str">
        <x:v>The MID record does not appear</x:v>
      </x:c>
      <x:c r="C11" s="21" t="str">
        <x:v>Service not running, authentication or connectivity error, or MID name mismatch</x:v>
      </x:c>
      <x:c r="D11" s="21" t="str">
        <x:v>Service, agent log, instance URL, and MID name</x:v>
      </x:c>
      <x:c r="E11" s="21" t="str">
        <x:v>Recheck the four Windows-side items in order</x:v>
      </x:c>
      <x:c r="F11" s="21" t="str">
        <x:v>Hand over service, log, and connectivity evidence to the registration owner</x:v>
      </x:c>
    </x:row>
    <x:row r="12" ht="84" customHeight="1">
      <x:c r="A12" s="24" t="n">
        <x:v>9</x:v>
      </x:c>
      <x:c r="B12" s="21" t="str">
        <x:v>An old MID Server or duplicate name is used</x:v>
      </x:c>
      <x:c r="C12" s="21" t="str">
        <x:v>VM clone, reinstallation, or missed naming check</x:v>
      </x:c>
      <x:c r="D12" s="21" t="str">
        <x:v>Service name, installation folder, and MID Servers list</x:v>
      </x:c>
      <x:c r="E12" s="21" t="str">
        <x:v>Make the name and folder unique before deciding whether to rebuild</x:v>
      </x:c>
      <x:c r="F12" s="21" t="str">
        <x:v>Do not delete an existing MID record without administrator approval</x:v>
      </x:c>
    </x:row>
    <x:row r="13" ht="84" customHeight="1">
      <x:c r="A13" s="24" t="n">
        <x:v>10</x:v>
      </x:c>
      <x:c r="B13" s="21" t="str">
        <x:v>Logs cannot be shared safely</x:v>
      </x:c>
      <x:c r="C13" s="21" t="str">
        <x:v>Logs contain account names, URLs, tokens, or other sensitive values</x:v>
      </x:c>
      <x:c r="D13" s="21" t="str">
        <x:v>Review every log selected for sharing</x:v>
      </x:c>
      <x:c r="E13" s="21" t="str">
        <x:v>Mask the data according to the corporate standard and store it in the approved location</x:v>
      </x:c>
      <x:c r="F13" s="21" t="str">
        <x:v>Do not attach unredacted logs to Git or chat</x:v>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6.25" hidden="0" customWidth="1"/>
    <x:col min="2" max="2" width="36.25" hidden="0" customWidth="1"/>
    <x:col min="3" max="3" width="41.25" hidden="0" customWidth="1"/>
    <x:col min="4" max="4" width="76.25" hidden="0" customWidth="1"/>
    <x:col min="5" max="5" width="26.25" hidden="0" customWidth="1"/>
  </x:cols>
  <x:sheetData>
    <x:row r="1">
      <x:c r="A1" s="3" t="str">
        <x:v>Official References</x:v>
      </x:c>
      <x:c r="B1" s="3"/>
      <x:c r="C1" s="3"/>
      <x:c r="D1" s="3"/>
      <x:c r="E1" s="3"/>
    </x:row>
    <x:row r="2">
      <x:c r="A2" s="8" t="str">
        <x:v>Before execution, reconfirm the target release and corporate standards. URLs may redirect according to the release or locale.</x:v>
      </x:c>
      <x:c r="B2" s="8"/>
      <x:c r="C2" s="8"/>
      <x:c r="D2" s="8"/>
      <x:c r="E2" s="8"/>
    </x:row>
    <x:row r="4">
      <x:c r="A4" s="23" t="str">
        <x:v>No.</x:v>
      </x:c>
      <x:c r="B4" s="23" t="str">
        <x:v>Document</x:v>
      </x:c>
      <x:c r="C4" s="23" t="str">
        <x:v>Purpose</x:v>
      </x:c>
      <x:c r="D4" s="23" t="str">
        <x:v>Official URL</x:v>
      </x:c>
      <x:c r="E4" s="23" t="str">
        <x:v>Review Date / Decision</x:v>
      </x:c>
    </x:row>
    <x:row r="5" ht="58" customHeight="1">
      <x:c r="A5" s="24" t="n">
        <x:v>1</x:v>
      </x:c>
      <x:c r="B5" s="21" t="str">
        <x:v>MID Server</x:v>
      </x:c>
      <x:c r="C5" s="21" t="str">
        <x:v>MID Server overview</x:v>
      </x:c>
      <x:c r="D5" s="21" t="str">
        <x:v>https://www.servicenow.com/docs/r/servicenow-platform/mid-server/mid-server.html</x:v>
      </x:c>
      <x:c r="E5" s="21" t="str">
        <x:v>2026-08-03 / reconfirm before execution</x:v>
      </x:c>
    </x:row>
    <x:row r="6" ht="58" customHeight="1">
      <x:c r="A6" s="24" t="n">
        <x:v>2</x:v>
      </x:c>
      <x:c r="B6" s="21" t="str">
        <x:v>MID Server system requirements</x:v>
      </x:c>
      <x:c r="C6" s="21" t="str">
        <x:v>Current OS, PowerShell, and resource requirements</x:v>
      </x:c>
      <x:c r="D6" s="21" t="str">
        <x:v>https://www.servicenow.com/docs/r/servicenow-platform/mid-server/r_MIDServerSystemRequirements.html</x:v>
      </x:c>
      <x:c r="E6" s="21" t="str">
        <x:v>2026-08-03 / reconfirm before execution</x:v>
      </x:c>
    </x:row>
    <x:row r="7" ht="58" customHeight="1">
      <x:c r="A7" s="24" t="n">
        <x:v>3</x:v>
      </x:c>
      <x:c r="B7" s="21" t="str">
        <x:v>Install a MID Server on Windows</x:v>
      </x:c>
      <x:c r="C7" s="21" t="str">
        <x:v>Windows installation prerequisites and entry point</x:v>
      </x:c>
      <x:c r="D7" s="21" t="str">
        <x:v>https://www.servicenow.com/docs/r/servicenow-platform/mid-server/mid-server-install-prereqs.html</x:v>
      </x:c>
      <x:c r="E7" s="21" t="str">
        <x:v>2026-08-03 / reconfirm before execution</x:v>
      </x:c>
    </x:row>
    <x:row r="8" ht="58" customHeight="1">
      <x:c r="A8" s="24" t="n">
        <x:v>4</x:v>
      </x:c>
      <x:c r="B8" s="21" t="str">
        <x:v>MID Server installation</x:v>
      </x:c>
      <x:c r="C8" s="21" t="str">
        <x:v>Manual and guided installation information</x:v>
      </x:c>
      <x:c r="D8" s="21" t="str">
        <x:v>https://www.servicenow.com/docs/r/servicenow-platform/mid-server/mid-server-installation.html</x:v>
      </x:c>
      <x:c r="E8" s="21" t="str">
        <x:v>2026-08-03 / reconfirm before execution</x:v>
      </x:c>
    </x:row>
    <x:row r="9" ht="58" customHeight="1">
      <x:c r="A9" s="24" t="n">
        <x:v>5</x:v>
      </x:c>
      <x:c r="B9" s="21" t="str">
        <x:v>Install MID Server as Windows Service</x:v>
      </x:c>
      <x:c r="C9" s="21" t="str">
        <x:v>Windows service startup, shutdown, and restart</x:v>
      </x:c>
      <x:c r="D9" s="21" t="str">
        <x:v>https://www.servicenow.com/docs/r/servicenow-platform/mid-server/t_InstallMIDServerAsWinService.html</x:v>
      </x:c>
      <x:c r="E9" s="21" t="str">
        <x:v>2026-08-03 / reconfirm before execution</x:v>
      </x:c>
    </x:row>
  </x:sheetData>
  <x:mergeCells>
    <x:mergeCell ref="A1:E1"/>
    <x:mergeCell ref="A2:E2"/>
  </x:mergeCells>
  <x:pageMargins left="0.7" right="0.7" top="0.75" bottom="0.75" header="0.3" footer="0.3"/>
</x:worksheet>
</file>