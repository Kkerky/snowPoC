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b4d511ce6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サマリ" sheetId="1" r:id="R0addba3f4d51492a"/>
    <x:sheet xmlns:r="http://schemas.openxmlformats.org/officeDocument/2006/relationships" name="手順書別内訳" sheetId="2" r:id="R640466c63e0c4024"/>
    <x:sheet xmlns:r="http://schemas.openxmlformats.org/officeDocument/2006/relationships" name="共通作業" sheetId="3" r:id="Re54ada9060c94383"/>
    <x:sheet xmlns:r="http://schemas.openxmlformats.org/officeDocument/2006/relationships" name="前提・変更条件" sheetId="4" r:id="R7198c37c32fe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00"/>
    <x:numFmt numFmtId="202" formatCode="0.0"/>
    <x:numFmt numFmtId="203" formatCode="0&quot;時間&quot;"/>
    <x:numFmt numFmtId="204" formatCode="0%"/>
    <x:numFmt numFmtId="205" formatCode="0&quot;手順&quot;"/>
    <x:numFmt numFmtId="206" formatCode="0&quot;営業日&quot;"/>
    <x:numFmt numFmtId="207" formatCode="0.00&quot;人日&quot;"/>
    <x:numFmt numFmtId="208" formatCode="0.00"/>
  </x:numFmts>
  <x:fonts count="10">
    <x:font>
      <x:sz val="11"/>
      <x:name val="Carlito"/>
    </x:font>
    <x:font>
      <x:b/>
      <x:sz val="16"/>
      <x:color rgb="FFFFFFFF"/>
      <x:name val="Yu Gothic"/>
    </x:font>
    <x:font>
      <x:i/>
      <x:sz val="10"/>
      <x:color rgb="FF4B5563"/>
      <x:name val="Yu Gothic"/>
    </x:font>
    <x:font>
      <x:b/>
      <x:sz val="11"/>
      <x:color rgb="FFFFFFFF"/>
      <x:name val="Yu Gothic"/>
    </x:font>
    <x:font>
      <x:b/>
      <x:sz val="10"/>
      <x:color rgb="FF262626"/>
      <x:name val="Yu Gothic"/>
    </x:font>
    <x:font>
      <x:sz val="10"/>
      <x:color rgb="FF262626"/>
      <x:name val="Yu Gothic"/>
    </x:font>
    <x:font>
      <x:b/>
      <x:sz val="12"/>
      <x:color rgb="FF262626"/>
      <x:name val="Yu Gothic"/>
    </x:font>
    <x:font>
      <x:b/>
      <x:sz val="20"/>
      <x:color rgb="FF262626"/>
      <x:name val="Yu Gothic"/>
    </x:font>
    <x:font>
      <x:sz val="11"/>
      <x:color rgb="FF262626"/>
      <x:name val="Yu Gothic"/>
    </x:font>
    <x:font>
      <x:b/>
      <x:sz val="11"/>
      <x:color rgb="FF262626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595959"/>
      </x:patternFill>
    </x:fill>
    <x:fill>
      <x:patternFill patternType="solid">
        <x:fgColor rgb="FFF2F2F2"/>
      </x:patternFill>
    </x:fill>
    <x:fill>
      <x:patternFill patternType="solid">
        <x:fgColor rgb="FF7F7F7F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</x:fills>
  <x:borders count="1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BFBFBF"/>
      </x:left>
      <x:top style="medium">
        <x:color rgb="FFBFBFBF"/>
      </x:top>
      <x:bottom style="medium">
        <x:color rgb="FFBFBFBF"/>
      </x:bottom>
    </x:border>
    <x:border>
      <x:top style="medium">
        <x:color rgb="FFBFBFBF"/>
      </x:top>
      <x:bottom style="medium">
        <x:color rgb="FFBFBFBF"/>
      </x:bottom>
    </x:border>
    <x:border>
      <x:right style="medium">
        <x:color rgb="FFBFBFBF"/>
      </x:right>
      <x:top style="medium">
        <x:color rgb="FFBFBFBF"/>
      </x:top>
      <x:bottom style="medium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</x:border>
    <x:border>
      <x:right style="thin">
        <x:color rgb="FFBFBFBF"/>
      </x:right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horizontal="right" vertical="center" wrapText="1"/>
    </x:xf>
    <x:xf numFmtId="200" fontId="5" fillId="0" borderId="1" xfId="0" applyNumberFormat="1" applyFont="1" applyFill="1" applyBorder="1" applyAlignment="1">
      <x:alignment horizontal="right" vertical="center" wrapText="1"/>
    </x:xf>
    <x:xf numFmtId="201" fontId="5" fillId="0" borderId="1" xfId="0" applyNumberFormat="1" applyFont="1" applyFill="1" applyBorder="1" applyAlignment="1">
      <x:alignment horizontal="right" vertical="center" wrapText="1"/>
    </x:xf>
    <x:xf numFmtId="202" fontId="5" fillId="0" borderId="1" xfId="0" applyNumberFormat="1" applyFont="1" applyFill="1" applyBorder="1" applyAlignment="1">
      <x:alignment horizontal="right" vertical="center" wrapText="1"/>
    </x:xf>
    <x:xf numFmtId="203" fontId="5" fillId="0" borderId="1" xfId="0" applyNumberFormat="1" applyFont="1" applyFill="1" applyBorder="1" applyAlignment="1">
      <x:alignment horizontal="right" vertical="center" wrapText="1"/>
    </x:xf>
    <x:xf numFmtId="204" fontId="5" fillId="0" borderId="1" xfId="0" applyNumberFormat="1" applyFont="1" applyFill="1" applyBorder="1" applyAlignment="1">
      <x:alignment horizontal="right" vertical="center" wrapText="1"/>
    </x:xf>
    <x:xf numFmtId="205" fontId="5" fillId="0" borderId="1" xfId="0" applyNumberFormat="1" applyFont="1" applyFill="1" applyBorder="1" applyAlignment="1">
      <x:alignment horizontal="right" vertical="center" wrapText="1"/>
    </x:xf>
    <x:xf numFmtId="206" fontId="5" fillId="0" borderId="1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horizontal="right"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horizontal="center" wrapText="1"/>
    </x:xf>
    <x:xf numFmtId="0" fontId="8" fillId="3" borderId="6" xfId="0" applyNumberFormat="1" applyFont="1" applyFill="1" applyBorder="1" applyAlignment="1">
      <x:alignment horizontal="center" wrapText="1"/>
    </x:xf>
    <x:xf numFmtId="0" fontId="8" fillId="3" borderId="7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9" xfId="0" applyNumberFormat="1" applyFont="1" applyFill="1" applyBorder="1" applyAlignment="1">
      <x:alignment horizontal="center" wrapText="1"/>
    </x:xf>
    <x:xf numFmtId="0" fontId="8" fillId="3" borderId="10" xfId="0" applyNumberFormat="1" applyFont="1" applyFill="1" applyBorder="1" applyAlignment="1">
      <x:alignment horizontal="center" wrapText="1"/>
    </x:xf>
    <x:xf numFmtId="0" fontId="8" fillId="3" borderId="5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7" fontId="5" fillId="0" borderId="1" xfId="0" applyNumberFormat="1" applyFont="1" applyFill="1" applyBorder="1" applyAlignment="1">
      <x:alignment vertical="center" wrapText="1"/>
    </x:xf>
    <x:xf numFmtId="207" fontId="9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6" fontId="5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8" fontId="5" fillId="0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8" fontId="4" fillId="6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c01c750574f7a" /><Relationship Type="http://schemas.openxmlformats.org/officeDocument/2006/relationships/theme" Target="/xl/theme/theme1.xml" Id="R41d9e98d0ea2450e" /><Relationship Type="http://schemas.openxmlformats.org/officeDocument/2006/relationships/sharedStrings" Target="/xl/sharedStrings.xml" Id="Rdae31b1e74ed4cd4" /><Relationship Type="http://schemas.openxmlformats.org/officeDocument/2006/relationships/worksheet" Target="/xl/worksheets/sheet1.xml" Id="R0addba3f4d51492a" /><Relationship Type="http://schemas.openxmlformats.org/officeDocument/2006/relationships/worksheet" Target="/xl/worksheets/sheet2.xml" Id="R640466c63e0c4024" /><Relationship Type="http://schemas.openxmlformats.org/officeDocument/2006/relationships/worksheet" Target="/xl/worksheets/sheet3.xml" Id="Re54ada9060c94383" /><Relationship Type="http://schemas.openxmlformats.org/officeDocument/2006/relationships/worksheet" Target="/xl/worksheets/sheet4.xml" Id="R7198c37c32fe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880000114440918" hidden="0" customWidth="1"/>
    <x:col min="4" max="4" width="18.75" hidden="0" customWidth="1"/>
    <x:col min="5" max="5" width="32.5" hidden="0" customWidth="1"/>
    <x:col min="6" max="6" width="3" hidden="0" customWidth="1"/>
    <x:col min="7" max="7" width="12.5" hidden="0" customWidth="1"/>
    <x:col min="8" max="8" width="15" hidden="0" customWidth="1"/>
  </x:cols>
  <x:sheetData>
    <x:row r="1" ht="34" customHeight="1">
      <x:c r="A1" s="3" t="str">
        <x:v>GAM ITOM 手順書作成 概算見積（全26手順・1名体制）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PoC成果を基に、指定サンプル形式（操作・画面・確認内容・チェック欄）で3冊のExcel手順書を作成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見積結果</x:v>
      </x:c>
      <x:c r="B4" s="10"/>
      <x:c r="C4" s="10"/>
      <x:c r="D4" s="10"/>
    </x:row>
    <x:row r="5" ht="44" customHeight="1">
      <x:c r="A5" s="29" t="str">
        <x:v>提案見積（人日）</x:v>
      </x:c>
      <x:c r="B5" s="30" t="n">
        <x:f>ROUNDUP(B6,0)</x:f>
        <x:v>31</x:v>
      </x:c>
      <x:c r="D5" s="39" t="str">
        <x:f>"提案値："&amp;B5&amp;"人日"</x:f>
        <x:v>提案値：31人日</x:v>
      </x:c>
      <x:c r="E5" s="40"/>
      <x:c r="F5" s="40"/>
      <x:c r="G5" s="40"/>
      <x:c r="H5" s="41"/>
    </x:row>
    <x:row r="6">
      <x:c r="A6" s="14" t="str">
        <x:v>算出値（人日）</x:v>
      </x:c>
      <x:c r="B6" s="21" t="n">
        <x:f>B7*(1+B9)</x:f>
        <x:v>30.474999999999998</x:v>
      </x:c>
      <x:c r="D6" s="61" t="str">
        <x:f>"基礎"&amp;B7&amp;"人日 + リスクバッファ"&amp;B9*100&amp;"% = "&amp;ROUND(B6,3)&amp;"人日／提出時は端数を切り上げ"&amp;B5&amp;"人日"</x:f>
        <x:v>基礎26.5人日 + リスクバッファ15% = 30.475人日／提出時は端数を切り上げ31人日</x:v>
      </x:c>
      <x:c r="E6" s="62"/>
      <x:c r="F6" s="62"/>
      <x:c r="G6" s="62"/>
      <x:c r="H6" s="63"/>
    </x:row>
    <x:row r="7">
      <x:c r="A7" s="14" t="str">
        <x:v>基礎工数（人日）</x:v>
      </x:c>
      <x:c r="B7" s="22" t="n">
        <x:f>('手順書別内訳'!$L$31+'共通作業'!$E$10)/B8</x:f>
        <x:v>26.5</x:v>
      </x:c>
      <x:c r="D7" s="64"/>
      <x:c r="E7" s="65"/>
      <x:c r="F7" s="65"/>
      <x:c r="G7" s="65"/>
      <x:c r="H7" s="66"/>
    </x:row>
    <x:row r="8">
      <x:c r="A8" s="14" t="str">
        <x:v>1人日</x:v>
      </x:c>
      <x:c r="B8" s="23" t="n">
        <x:v>8</x:v>
      </x:c>
    </x:row>
    <x:row r="9">
      <x:c r="A9" s="14" t="str">
        <x:v>リスクバッファ</x:v>
      </x:c>
      <x:c r="B9" s="24" t="n">
        <x:v>0.15</x:v>
      </x:c>
      <x:c r="D9" s="10" t="str">
        <x:v>区分別 手順書工数</x:v>
      </x:c>
      <x:c r="E9" s="10"/>
      <x:c r="F9" s="10"/>
      <x:c r="G9" s="10"/>
      <x:c r="H9" s="10"/>
    </x:row>
    <x:row r="10">
      <x:c r="A10" s="14" t="str">
        <x:v>対象手順数</x:v>
      </x:c>
      <x:c r="B10" s="25" t="n">
        <x:f>COUNTIF('手順書別内訳'!$D$5:$D$30,"対象")</x:f>
        <x:v>26</x:v>
      </x:c>
      <x:c r="D10" s="67" t="str">
        <x:v>システム管理者</x:v>
      </x:c>
      <x:c r="E10" s="67" t="str">
        <x:v>4手順</x:v>
      </x:c>
      <x:c r="F10" s="67"/>
      <x:c r="G10" s="69" t="n">
        <x:f>SUMIF('手順書別内訳'!$B$5:$B$30,D10,'手順書別内訳'!$M$5:$M$30)</x:f>
        <x:v>5</x:v>
      </x:c>
      <x:c r="H10" s="70" t="str">
        <x:v>対象</x:v>
      </x:c>
    </x:row>
    <x:row r="11">
      <x:c r="A11" s="14" t="str">
        <x:v>対象外手順数</x:v>
      </x:c>
      <x:c r="B11" s="25" t="n">
        <x:f>COUNTIF('手順書別内訳'!$D$5:$D$30,"対象外")</x:f>
        <x:v>0</x:v>
      </x:c>
      <x:c r="D11" s="67" t="str">
        <x:v>運用者</x:v>
      </x:c>
      <x:c r="E11" s="67" t="str">
        <x:v>11手順</x:v>
      </x:c>
      <x:c r="F11" s="67"/>
      <x:c r="G11" s="69" t="n">
        <x:f>SUMIF('手順書別内訳'!$B$5:$B$30,D11,'手順書別内訳'!$M$5:$M$30)</x:f>
        <x:v>12.5</x:v>
      </x:c>
      <x:c r="H11" s="71" t="str">
        <x:v>対象</x:v>
      </x:c>
    </x:row>
    <x:row r="12">
      <x:c r="A12" s="14" t="str">
        <x:v>1名体制の実作業日数</x:v>
      </x:c>
      <x:c r="B12" s="26" t="n">
        <x:f>B5</x:f>
        <x:v>31</x:v>
      </x:c>
      <x:c r="D12" s="67" t="str">
        <x:v>エンドユーザー</x:v>
      </x:c>
      <x:c r="E12" s="67" t="str">
        <x:v>11手順</x:v>
      </x:c>
      <x:c r="F12" s="67"/>
      <x:c r="G12" s="69" t="n">
        <x:f>SUMIF('手順書別内訳'!$B$5:$B$30,D12,'手順書別内訳'!$M$5:$M$30)</x:f>
        <x:v>5.25</x:v>
      </x:c>
      <x:c r="H12" s="70" t="str">
        <x:v>対象</x:v>
      </x:c>
    </x:row>
    <x:row r="14">
      <x:c r="A14" s="10" t="str">
        <x:v>体制別の目安</x:v>
      </x:c>
      <x:c r="B14" s="10"/>
      <x:c r="C14" s="10"/>
      <x:c r="D14" s="10"/>
      <x:c r="E14" s="10"/>
      <x:c r="F14" s="10"/>
      <x:c r="G14" s="10"/>
      <x:c r="H14" s="10"/>
    </x:row>
    <x:row r="15" ht="34" customHeight="1">
      <x:c r="A15" s="77" t="str">
        <x:v>体制</x:v>
      </x:c>
      <x:c r="B15" s="77" t="str">
        <x:v>並行効率</x:v>
      </x:c>
      <x:c r="C15" s="77" t="str">
        <x:v>実作業日数</x:v>
      </x:c>
      <x:c r="D15" s="77" t="str">
        <x:v>カレンダー目安</x:v>
      </x:c>
      <x:c r="E15" s="77" t="str">
        <x:v>考え方</x:v>
      </x:c>
    </x:row>
    <x:row r="16" ht="52" customHeight="1">
      <x:c r="A16" s="67" t="str">
        <x:v>1名</x:v>
      </x:c>
      <x:c r="B16" s="78" t="n">
        <x:v>1</x:v>
      </x:c>
      <x:c r="C16" s="79" t="n">
        <x:f>B12</x:f>
        <x:v>31</x:v>
      </x:c>
      <x:c r="D16" s="67" t="str">
        <x:v>約6～7週</x:v>
      </x:c>
      <x:c r="E16" s="67" t="str">
        <x:v>1名が全26手順を作成し、Leader/有識者がレビュー</x:v>
      </x:c>
    </x:row>
    <x:row r="20">
      <x:c r="A20" s="10" t="str">
        <x:v>見積の考え方</x:v>
      </x:c>
      <x:c r="B20" s="10"/>
      <x:c r="C20" s="10"/>
      <x:c r="D20" s="10"/>
      <x:c r="E20" s="10"/>
      <x:c r="F20" s="10"/>
      <x:c r="G20" s="10"/>
      <x:c r="H20" s="10"/>
    </x:row>
    <x:row r="21" ht="24" customHeight="1">
      <x:c r="A21" s="98" t="str">
        <x:v>・全26手順を対象とし、ESXi、AWS、GCP関連6手順も本見積に含む。
・規模目安は、小：2～4h、中：6～10h、大：12～16h。画面数と確認範囲に応じて手順別に配分。
・各手順の工数には、既存PoC資料の確認、実機での再現、スクリーンショット取得、Excel記載、自己確認・修正を含む。
・共通作業には、テンプレート整備、用語・マスキング統一、全体整合性確認、レビュー2回、進捗・納品管理を含む。
・リスクバッファ15%は、PoC完了済み・既存資料再利用可能を前提に、画面差異、再撮影、軽微なレビュー指摘へ対応するため。
・待ち時間、環境障害の原因調査、権限・FW・Credential払い出し、PoC対象外機能の新規検証は見積外。</x:v>
      </x:c>
      <x:c r="B21" s="99"/>
      <x:c r="C21" s="99"/>
      <x:c r="D21" s="99"/>
      <x:c r="E21" s="99"/>
      <x:c r="F21" s="99"/>
      <x:c r="G21" s="99"/>
      <x:c r="H21" s="100"/>
    </x:row>
    <x:row r="22" ht="24" customHeight="1">
      <x:c r="A22" s="101"/>
      <x:c r="B22" s="102"/>
      <x:c r="C22" s="102"/>
      <x:c r="D22" s="102"/>
      <x:c r="E22" s="102"/>
      <x:c r="F22" s="102"/>
      <x:c r="G22" s="102"/>
      <x:c r="H22" s="103"/>
    </x:row>
    <x:row r="23" ht="24" customHeight="1">
      <x:c r="A23" s="101"/>
      <x:c r="B23" s="102"/>
      <x:c r="C23" s="102"/>
      <x:c r="D23" s="102"/>
      <x:c r="E23" s="102"/>
      <x:c r="F23" s="102"/>
      <x:c r="G23" s="102"/>
      <x:c r="H23" s="103"/>
    </x:row>
    <x:row r="24" ht="24" customHeight="1">
      <x:c r="A24" s="104"/>
      <x:c r="B24" s="105"/>
      <x:c r="C24" s="105"/>
      <x:c r="D24" s="105"/>
      <x:c r="E24" s="105"/>
      <x:c r="F24" s="105"/>
      <x:c r="G24" s="105"/>
      <x:c r="H24" s="106"/>
    </x:row>
  </x:sheetData>
  <x:mergeCells>
    <x:mergeCell ref="A1:H1"/>
    <x:mergeCell ref="A2:H2"/>
    <x:mergeCell ref="A4:D4"/>
    <x:mergeCell ref="D5:H5"/>
    <x:mergeCell ref="D6:H7"/>
    <x:mergeCell ref="D9:H9"/>
    <x:mergeCell ref="A14:H14"/>
    <x:mergeCell ref="A20:H20"/>
    <x:mergeCell ref="A21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15" hidden="0" customWidth="1"/>
    <x:col min="3" max="3" width="38.75" hidden="0" customWidth="1"/>
    <x:col min="4" max="4" width="9.75" hidden="0" customWidth="1"/>
    <x:col min="5" max="5" width="10.75" hidden="0" customWidth="1"/>
    <x:col min="6" max="6" width="10.75" hidden="0" customWidth="1"/>
    <x:col min="7" max="7" width="11.75" hidden="0" customWidth="1"/>
    <x:col min="8" max="8" width="11.75" hidden="0" customWidth="1"/>
    <x:col min="9" max="9" width="11.75" hidden="0" customWidth="1"/>
    <x:col min="10" max="10" width="11.7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41.25" hidden="0" customWidth="1"/>
  </x:cols>
  <x:sheetData>
    <x:row r="1" ht="34" customHeight="1">
      <x:c r="A1" s="3" t="str">
        <x:v>手順書別 工数内訳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対象：3ファイル構成／全26手順。ESXi、AWS、GCP関連手順も含む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42" customHeight="1">
      <x:c r="A4" s="77" t="str">
        <x:v>#</x:v>
      </x:c>
      <x:c r="B4" s="77" t="str">
        <x:v>区分</x:v>
      </x:c>
      <x:c r="C4" s="77" t="str">
        <x:v>手順書名</x:v>
      </x:c>
      <x:c r="D4" s="77" t="str">
        <x:v>今回範囲</x:v>
      </x:c>
      <x:c r="E4" s="77" t="str">
        <x:v>既存資料再利用</x:v>
      </x:c>
      <x:c r="F4" s="77" t="str">
        <x:v>難易度</x:v>
      </x:c>
      <x:c r="G4" s="77" t="str">
        <x:v>調査・構成(h)</x:v>
      </x:c>
      <x:c r="H4" s="77" t="str">
        <x:v>実機確認・画面取得(h)</x:v>
      </x:c>
      <x:c r="I4" s="77" t="str">
        <x:v>Excel作成(h)</x:v>
      </x:c>
      <x:c r="J4" s="77" t="str">
        <x:v>単体確認・修正(h)</x:v>
      </x:c>
      <x:c r="K4" s="77" t="str">
        <x:v>粗工数(h)</x:v>
      </x:c>
      <x:c r="L4" s="77" t="str">
        <x:v>今回見積(h)</x:v>
      </x:c>
      <x:c r="M4" s="77" t="str">
        <x:v>今回人日</x:v>
      </x:c>
      <x:c r="N4" s="77" t="str">
        <x:v>対象外人日</x:v>
      </x:c>
      <x:c r="O4" s="77" t="str">
        <x:v>根拠・備考</x:v>
      </x:c>
    </x:row>
    <x:row r="5" ht="34" customHeight="1">
      <x:c r="A5" s="107" t="n">
        <x:v>1</x:v>
      </x:c>
      <x:c r="B5" s="67" t="str">
        <x:v>システム管理者</x:v>
      </x:c>
      <x:c r="C5" s="67" t="str">
        <x:v>MID Server構築手順書（Windows）</x:v>
      </x:c>
      <x:c r="D5" s="107" t="str">
        <x:v>対象</x:v>
      </x:c>
      <x:c r="E5" s="107" t="str">
        <x:v>高</x:v>
      </x:c>
      <x:c r="F5" s="107" t="str">
        <x:v>大</x:v>
      </x:c>
      <x:c r="G5" s="108" t="n">
        <x:v>1.5</x:v>
      </x:c>
      <x:c r="H5" s="108" t="n">
        <x:v>4</x:v>
      </x:c>
      <x:c r="I5" s="108" t="n">
        <x:v>4</x:v>
      </x:c>
      <x:c r="J5" s="108" t="n">
        <x:v>2.5</x:v>
      </x:c>
      <x:c r="K5" s="22" t="n">
        <x:f>SUM(G5:J5)</x:f>
        <x:v>12</x:v>
      </x:c>
      <x:c r="L5" s="22" t="n">
        <x:f>IF(D5="対象",K5,0)</x:f>
        <x:v>12</x:v>
      </x:c>
      <x:c r="M5" s="108" t="n">
        <x:f>L5/'見積サマリ'!$B$8</x:f>
        <x:v>1.5</x:v>
      </x:c>
      <x:c r="N5" s="108" t="n">
        <x:f>IF(D5="対象外",K5/'見積サマリ'!$B$8,0)</x:f>
        <x:v>0</x:v>
      </x:c>
      <x:c r="O5" s="67" t="str">
        <x:v>PoC実績と既存資料を再利用。インストールからサービス起動までを再撮影</x:v>
      </x:c>
    </x:row>
    <x:row r="6" ht="34" customHeight="1">
      <x:c r="A6" s="107" t="n">
        <x:v>2</x:v>
      </x:c>
      <x:c r="B6" s="67" t="str">
        <x:v>システム管理者</x:v>
      </x:c>
      <x:c r="C6" s="67" t="str">
        <x:v>MID Server構築手順書（Linux）</x:v>
      </x:c>
      <x:c r="D6" s="107" t="str">
        <x:v>対象</x:v>
      </x:c>
      <x:c r="E6" s="107" t="str">
        <x:v>高</x:v>
      </x:c>
      <x:c r="F6" s="107" t="str">
        <x:v>大</x:v>
      </x:c>
      <x:c r="G6" s="108" t="n">
        <x:v>2</x:v>
      </x:c>
      <x:c r="H6" s="108" t="n">
        <x:v>6</x:v>
      </x:c>
      <x:c r="I6" s="108" t="n">
        <x:v>5</x:v>
      </x:c>
      <x:c r="J6" s="108" t="n">
        <x:v>3</x:v>
      </x:c>
      <x:c r="K6" s="22" t="n">
        <x:f>SUM(G6:J6)</x:f>
        <x:v>16</x:v>
      </x:c>
      <x:c r="L6" s="22" t="n">
        <x:f>IF(D6="対象",K6,0)</x:f>
        <x:v>16</x:v>
      </x:c>
      <x:c r="M6" s="108" t="n">
        <x:f>L6/'見積サマリ'!$B$8</x:f>
        <x:v>2</x:v>
      </x:c>
      <x:c r="N6" s="108" t="n">
        <x:f>IF(D6="対象外",K6/'見積サマリ'!$B$8,0)</x:f>
        <x:v>0</x:v>
      </x:c>
      <x:c r="O6" s="67" t="str">
        <x:v>Linux固有コマンド、権限、サービス化、既知トラブルを含む</x:v>
      </x:c>
    </x:row>
    <x:row r="7" ht="34" customHeight="1">
      <x:c r="A7" s="107" t="n">
        <x:v>3</x:v>
      </x:c>
      <x:c r="B7" s="67" t="str">
        <x:v>システム管理者</x:v>
      </x:c>
      <x:c r="C7" s="67" t="str">
        <x:v>ServiceNow MID Server登録手順書</x:v>
      </x:c>
      <x:c r="D7" s="107" t="str">
        <x:v>対象</x:v>
      </x:c>
      <x:c r="E7" s="107" t="str">
        <x:v>高</x:v>
      </x:c>
      <x:c r="F7" s="107" t="str">
        <x:v>小</x:v>
      </x:c>
      <x:c r="G7" s="108" t="n">
        <x:v>0.5</x:v>
      </x:c>
      <x:c r="H7" s="108" t="n">
        <x:v>1</x:v>
      </x:c>
      <x:c r="I7" s="108" t="n">
        <x:v>1.5</x:v>
      </x:c>
      <x:c r="J7" s="108" t="n">
        <x:v>1</x:v>
      </x:c>
      <x:c r="K7" s="22" t="n">
        <x:f>SUM(G7:J7)</x:f>
        <x:v>4</x:v>
      </x:c>
      <x:c r="L7" s="22" t="n">
        <x:f>IF(D7="対象",K7,0)</x:f>
        <x:v>4</x:v>
      </x:c>
      <x:c r="M7" s="108" t="n">
        <x:f>L7/'見積サマリ'!$B$8</x:f>
        <x:v>0.5</x:v>
      </x:c>
      <x:c r="N7" s="108" t="n">
        <x:f>IF(D7="対象外",K7/'見積サマリ'!$B$8,0)</x:f>
        <x:v>0</x:v>
      </x:c>
      <x:c r="O7" s="67" t="str">
        <x:v>Windows/Linux共通の登録・Validation確認を簡潔に整理</x:v>
      </x:c>
    </x:row>
    <x:row r="8" ht="34" customHeight="1">
      <x:c r="A8" s="107" t="n">
        <x:v>4</x:v>
      </x:c>
      <x:c r="B8" s="67" t="str">
        <x:v>システム管理者</x:v>
      </x:c>
      <x:c r="C8" s="67" t="str">
        <x:v>ServiceNow MID Server VUP手順書</x:v>
      </x:c>
      <x:c r="D8" s="107" t="str">
        <x:v>対象</x:v>
      </x:c>
      <x:c r="E8" s="107" t="str">
        <x:v>低</x:v>
      </x:c>
      <x:c r="F8" s="107" t="str">
        <x:v>中</x:v>
      </x:c>
      <x:c r="G8" s="108" t="n">
        <x:v>1.5</x:v>
      </x:c>
      <x:c r="H8" s="108" t="n">
        <x:v>2.5</x:v>
      </x:c>
      <x:c r="I8" s="108" t="n">
        <x:v>2.5</x:v>
      </x:c>
      <x:c r="J8" s="108" t="n">
        <x:v>1.5</x:v>
      </x:c>
      <x:c r="K8" s="22" t="n">
        <x:f>SUM(G8:J8)</x:f>
        <x:v>8</x:v>
      </x:c>
      <x:c r="L8" s="22" t="n">
        <x:f>IF(D8="対象",K8,0)</x:f>
        <x:v>8</x:v>
      </x:c>
      <x:c r="M8" s="108" t="n">
        <x:f>L8/'見積サマリ'!$B$8</x:f>
        <x:v>1</x:v>
      </x:c>
      <x:c r="N8" s="108" t="n">
        <x:f>IF(D8="対象外",K8/'見積サマリ'!$B$8,0)</x:f>
        <x:v>0</x:v>
      </x:c>
      <x:c r="O8" s="67" t="str">
        <x:v>VUP状態と更新前後の確認画面を整理</x:v>
      </x:c>
    </x:row>
    <x:row r="9" ht="34" customHeight="1">
      <x:c r="A9" s="107" t="n">
        <x:v>5</x:v>
      </x:c>
      <x:c r="B9" s="67" t="str">
        <x:v>運用者</x:v>
      </x:c>
      <x:c r="C9" s="67" t="str">
        <x:v>Credential-less Discovery実行手順書</x:v>
      </x:c>
      <x:c r="D9" s="107" t="str">
        <x:v>対象</x:v>
      </x:c>
      <x:c r="E9" s="107" t="str">
        <x:v>高</x:v>
      </x:c>
      <x:c r="F9" s="107" t="str">
        <x:v>中</x:v>
      </x:c>
      <x:c r="G9" s="108" t="n">
        <x:v>1</x:v>
      </x:c>
      <x:c r="H9" s="108" t="n">
        <x:v>2</x:v>
      </x:c>
      <x:c r="I9" s="108" t="n">
        <x:v>2</x:v>
      </x:c>
      <x:c r="J9" s="108" t="n">
        <x:v>1</x:v>
      </x:c>
      <x:c r="K9" s="22" t="n">
        <x:f>SUM(G9:J9)</x:f>
        <x:v>6</x:v>
      </x:c>
      <x:c r="L9" s="22" t="n">
        <x:f>IF(D9="対象",K9,0)</x:f>
        <x:v>6</x:v>
      </x:c>
      <x:c r="M9" s="108" t="n">
        <x:f>L9/'見積サマリ'!$B$8</x:f>
        <x:v>0.75</x:v>
      </x:c>
      <x:c r="N9" s="108" t="n">
        <x:f>IF(D9="対象外",K9/'見積サマリ'!$B$8,0)</x:f>
        <x:v>0</x:v>
      </x:c>
      <x:c r="O9" s="67" t="str">
        <x:v>既存PoC資料を基に範囲・Port・結果確認を整理</x:v>
      </x:c>
    </x:row>
    <x:row r="10" ht="34" customHeight="1">
      <x:c r="A10" s="107" t="n">
        <x:v>6</x:v>
      </x:c>
      <x:c r="B10" s="67" t="str">
        <x:v>運用者</x:v>
      </x:c>
      <x:c r="C10" s="67" t="str">
        <x:v>Credential Discovery（Windows）実行手順書</x:v>
      </x:c>
      <x:c r="D10" s="107" t="str">
        <x:v>対象</x:v>
      </x:c>
      <x:c r="E10" s="107" t="str">
        <x:v>中</x:v>
      </x:c>
      <x:c r="F10" s="107" t="str">
        <x:v>中</x:v>
      </x:c>
      <x:c r="G10" s="108" t="n">
        <x:v>1</x:v>
      </x:c>
      <x:c r="H10" s="108" t="n">
        <x:v>2</x:v>
      </x:c>
      <x:c r="I10" s="108" t="n">
        <x:v>2</x:v>
      </x:c>
      <x:c r="J10" s="108" t="n">
        <x:v>1</x:v>
      </x:c>
      <x:c r="K10" s="22" t="n">
        <x:f>SUM(G10:J10)</x:f>
        <x:v>6</x:v>
      </x:c>
      <x:c r="L10" s="22" t="n">
        <x:f>IF(D10="対象",K10,0)</x:f>
        <x:v>6</x:v>
      </x:c>
      <x:c r="M10" s="108" t="n">
        <x:f>L10/'見積サマリ'!$B$8</x:f>
        <x:v>0.75</x:v>
      </x:c>
      <x:c r="N10" s="108" t="n">
        <x:f>IF(D10="対象外",K10/'見積サマリ'!$B$8,0)</x:f>
        <x:v>0</x:v>
      </x:c>
      <x:c r="O10" s="67" t="str">
        <x:v>Schedule実行、Status、主要CI確認に限定</x:v>
      </x:c>
    </x:row>
    <x:row r="11" ht="34" customHeight="1">
      <x:c r="A11" s="107" t="n">
        <x:v>7</x:v>
      </x:c>
      <x:c r="B11" s="67" t="str">
        <x:v>運用者</x:v>
      </x:c>
      <x:c r="C11" s="67" t="str">
        <x:v>Credential Discovery（Linux）実行手順書</x:v>
      </x:c>
      <x:c r="D11" s="107" t="str">
        <x:v>対象</x:v>
      </x:c>
      <x:c r="E11" s="107" t="str">
        <x:v>中</x:v>
      </x:c>
      <x:c r="F11" s="107" t="str">
        <x:v>中</x:v>
      </x:c>
      <x:c r="G11" s="108" t="n">
        <x:v>1</x:v>
      </x:c>
      <x:c r="H11" s="108" t="n">
        <x:v>2</x:v>
      </x:c>
      <x:c r="I11" s="108" t="n">
        <x:v>2</x:v>
      </x:c>
      <x:c r="J11" s="108" t="n">
        <x:v>1</x:v>
      </x:c>
      <x:c r="K11" s="22" t="n">
        <x:f>SUM(G11:J11)</x:f>
        <x:v>6</x:v>
      </x:c>
      <x:c r="L11" s="22" t="n">
        <x:f>IF(D11="対象",K11,0)</x:f>
        <x:v>6</x:v>
      </x:c>
      <x:c r="M11" s="108" t="n">
        <x:f>L11/'見積サマリ'!$B$8</x:f>
        <x:v>0.75</x:v>
      </x:c>
      <x:c r="N11" s="108" t="n">
        <x:f>IF(D11="対象外",K11/'見積サマリ'!$B$8,0)</x:f>
        <x:v>0</x:v>
      </x:c>
      <x:c r="O11" s="67" t="str">
        <x:v>Schedule実行、Status、主要CI確認に限定</x:v>
      </x:c>
    </x:row>
    <x:row r="12" ht="34" customHeight="1">
      <x:c r="A12" s="107" t="n">
        <x:v>8</x:v>
      </x:c>
      <x:c r="B12" s="67" t="str">
        <x:v>運用者</x:v>
      </x:c>
      <x:c r="C12" s="67" t="str">
        <x:v>Credential Discovery（ESXi）実行手順書</x:v>
      </x:c>
      <x:c r="D12" s="107" t="str">
        <x:v>対象</x:v>
      </x:c>
      <x:c r="E12" s="107" t="str">
        <x:v>低</x:v>
      </x:c>
      <x:c r="F12" s="107" t="str">
        <x:v>中</x:v>
      </x:c>
      <x:c r="G12" s="108" t="n">
        <x:v>2</x:v>
      </x:c>
      <x:c r="H12" s="108" t="n">
        <x:v>3</x:v>
      </x:c>
      <x:c r="I12" s="108" t="n">
        <x:v>3</x:v>
      </x:c>
      <x:c r="J12" s="108" t="n">
        <x:v>2</x:v>
      </x:c>
      <x:c r="K12" s="22" t="n">
        <x:f>SUM(G12:J12)</x:f>
        <x:v>10</x:v>
      </x:c>
      <x:c r="L12" s="22" t="n">
        <x:f>IF(D12="対象",K12,0)</x:f>
        <x:v>10</x:v>
      </x:c>
      <x:c r="M12" s="108" t="n">
        <x:f>L12/'見積サマリ'!$B$8</x:f>
        <x:v>1.25</x:v>
      </x:c>
      <x:c r="N12" s="108" t="n">
        <x:f>IF(D12="対象外",K12/'見積サマリ'!$B$8,0)</x:f>
        <x:v>0</x:v>
      </x:c>
      <x:c r="O12" s="67" t="str">
        <x:v>ESXi環境・認証情報を用いて実行画面と取得CIを確認</x:v>
      </x:c>
    </x:row>
    <x:row r="13" ht="34" customHeight="1">
      <x:c r="A13" s="107" t="n">
        <x:v>9</x:v>
      </x:c>
      <x:c r="B13" s="67" t="str">
        <x:v>運用者</x:v>
      </x:c>
      <x:c r="C13" s="67" t="str">
        <x:v>Credential Discovery（NW SNMP）実行手順書</x:v>
      </x:c>
      <x:c r="D13" s="107" t="str">
        <x:v>対象</x:v>
      </x:c>
      <x:c r="E13" s="107" t="str">
        <x:v>中</x:v>
      </x:c>
      <x:c r="F13" s="107" t="str">
        <x:v>中</x:v>
      </x:c>
      <x:c r="G13" s="108" t="n">
        <x:v>1</x:v>
      </x:c>
      <x:c r="H13" s="108" t="n">
        <x:v>2</x:v>
      </x:c>
      <x:c r="I13" s="108" t="n">
        <x:v>2</x:v>
      </x:c>
      <x:c r="J13" s="108" t="n">
        <x:v>1</x:v>
      </x:c>
      <x:c r="K13" s="22" t="n">
        <x:f>SUM(G13:J13)</x:f>
        <x:v>6</x:v>
      </x:c>
      <x:c r="L13" s="22" t="n">
        <x:f>IF(D13="対象",K13,0)</x:f>
        <x:v>6</x:v>
      </x:c>
      <x:c r="M13" s="108" t="n">
        <x:f>L13/'見積サマリ'!$B$8</x:f>
        <x:v>0.75</x:v>
      </x:c>
      <x:c r="N13" s="108" t="n">
        <x:f>IF(D13="対象外",K13/'見積サマリ'!$B$8,0)</x:f>
        <x:v>0</x:v>
      </x:c>
      <x:c r="O13" s="67" t="str">
        <x:v>Schedule実行、SNMP結果、Network CI確認を整理</x:v>
      </x:c>
    </x:row>
    <x:row r="14" ht="34" customHeight="1">
      <x:c r="A14" s="107" t="n">
        <x:v>10</x:v>
      </x:c>
      <x:c r="B14" s="67" t="str">
        <x:v>運用者</x:v>
      </x:c>
      <x:c r="C14" s="67" t="str">
        <x:v>Cloud Discovery（Azure）実行手順書</x:v>
      </x:c>
      <x:c r="D14" s="107" t="str">
        <x:v>対象</x:v>
      </x:c>
      <x:c r="E14" s="107" t="str">
        <x:v>高</x:v>
      </x:c>
      <x:c r="F14" s="107" t="str">
        <x:v>中</x:v>
      </x:c>
      <x:c r="G14" s="108" t="n">
        <x:v>1.5</x:v>
      </x:c>
      <x:c r="H14" s="108" t="n">
        <x:v>3</x:v>
      </x:c>
      <x:c r="I14" s="108" t="n">
        <x:v>3.5</x:v>
      </x:c>
      <x:c r="J14" s="108" t="n">
        <x:v>2</x:v>
      </x:c>
      <x:c r="K14" s="22" t="n">
        <x:f>SUM(G14:J14)</x:f>
        <x:v>10</x:v>
      </x:c>
      <x:c r="L14" s="22" t="n">
        <x:f>IF(D14="対象",K14,0)</x:f>
        <x:v>10</x:v>
      </x:c>
      <x:c r="M14" s="108" t="n">
        <x:f>L14/'見積サマリ'!$B$8</x:f>
        <x:v>1.25</x:v>
      </x:c>
      <x:c r="N14" s="108" t="n">
        <x:f>IF(D14="対象外",K14/'見積サマリ'!$B$8,0)</x:f>
        <x:v>0</x:v>
      </x:c>
      <x:c r="O14" s="67" t="str">
        <x:v>既存資料を再利用し、Schedule、結果、主要CI表を確認</x:v>
      </x:c>
    </x:row>
    <x:row r="15" ht="34" customHeight="1">
      <x:c r="A15" s="107" t="n">
        <x:v>11</x:v>
      </x:c>
      <x:c r="B15" s="67" t="str">
        <x:v>運用者</x:v>
      </x:c>
      <x:c r="C15" s="67" t="str">
        <x:v>Cloud Discovery（AWS）実行手順書</x:v>
      </x:c>
      <x:c r="D15" s="107" t="str">
        <x:v>対象</x:v>
      </x:c>
      <x:c r="E15" s="107" t="str">
        <x:v>低</x:v>
      </x:c>
      <x:c r="F15" s="107" t="str">
        <x:v>大</x:v>
      </x:c>
      <x:c r="G15" s="108" t="n">
        <x:v>2</x:v>
      </x:c>
      <x:c r="H15" s="108" t="n">
        <x:v>4</x:v>
      </x:c>
      <x:c r="I15" s="108" t="n">
        <x:v>4</x:v>
      </x:c>
      <x:c r="J15" s="108" t="n">
        <x:v>2</x:v>
      </x:c>
      <x:c r="K15" s="22" t="n">
        <x:f>SUM(G15:J15)</x:f>
        <x:v>12</x:v>
      </x:c>
      <x:c r="L15" s="22" t="n">
        <x:f>IF(D15="対象",K15,0)</x:f>
        <x:v>12</x:v>
      </x:c>
      <x:c r="M15" s="108" t="n">
        <x:f>L15/'見積サマリ'!$B$8</x:f>
        <x:v>1.5</x:v>
      </x:c>
      <x:c r="N15" s="108" t="n">
        <x:f>IF(D15="対象外",K15/'見積サマリ'!$B$8,0)</x:f>
        <x:v>0</x:v>
      </x:c>
      <x:c r="O15" s="67" t="str">
        <x:v>AWS環境・権限・Credentialを確認して手順化</x:v>
      </x:c>
    </x:row>
    <x:row r="16" ht="34" customHeight="1">
      <x:c r="A16" s="107" t="n">
        <x:v>12</x:v>
      </x:c>
      <x:c r="B16" s="67" t="str">
        <x:v>運用者</x:v>
      </x:c>
      <x:c r="C16" s="67" t="str">
        <x:v>Cloud Discovery（GCP）実行手順書</x:v>
      </x:c>
      <x:c r="D16" s="107" t="str">
        <x:v>対象</x:v>
      </x:c>
      <x:c r="E16" s="107" t="str">
        <x:v>低</x:v>
      </x:c>
      <x:c r="F16" s="107" t="str">
        <x:v>大</x:v>
      </x:c>
      <x:c r="G16" s="108" t="n">
        <x:v>2</x:v>
      </x:c>
      <x:c r="H16" s="108" t="n">
        <x:v>4</x:v>
      </x:c>
      <x:c r="I16" s="108" t="n">
        <x:v>4</x:v>
      </x:c>
      <x:c r="J16" s="108" t="n">
        <x:v>2</x:v>
      </x:c>
      <x:c r="K16" s="22" t="n">
        <x:f>SUM(G16:J16)</x:f>
        <x:v>12</x:v>
      </x:c>
      <x:c r="L16" s="22" t="n">
        <x:f>IF(D16="対象",K16,0)</x:f>
        <x:v>12</x:v>
      </x:c>
      <x:c r="M16" s="108" t="n">
        <x:f>L16/'見積サマリ'!$B$8</x:f>
        <x:v>1.5</x:v>
      </x:c>
      <x:c r="N16" s="108" t="n">
        <x:f>IF(D16="対象外",K16/'見積サマリ'!$B$8,0)</x:f>
        <x:v>0</x:v>
      </x:c>
      <x:c r="O16" s="67" t="str">
        <x:v>GCP環境・権限・Credentialを確認して手順化</x:v>
      </x:c>
    </x:row>
    <x:row r="17" ht="34" customHeight="1">
      <x:c r="A17" s="107" t="n">
        <x:v>13</x:v>
      </x:c>
      <x:c r="B17" s="67" t="str">
        <x:v>運用者</x:v>
      </x:c>
      <x:c r="C17" s="67" t="str">
        <x:v>ServiceMapping（Tag-Based）実行手順書</x:v>
      </x:c>
      <x:c r="D17" s="107" t="str">
        <x:v>対象</x:v>
      </x:c>
      <x:c r="E17" s="107" t="str">
        <x:v>低</x:v>
      </x:c>
      <x:c r="F17" s="107" t="str">
        <x:v>中</x:v>
      </x:c>
      <x:c r="G17" s="108" t="n">
        <x:v>2</x:v>
      </x:c>
      <x:c r="H17" s="108" t="n">
        <x:v>3</x:v>
      </x:c>
      <x:c r="I17" s="108" t="n">
        <x:v>3</x:v>
      </x:c>
      <x:c r="J17" s="108" t="n">
        <x:v>2</x:v>
      </x:c>
      <x:c r="K17" s="22" t="n">
        <x:f>SUM(G17:J17)</x:f>
        <x:v>10</x:v>
      </x:c>
      <x:c r="L17" s="22" t="n">
        <x:f>IF(D17="対象",K17,0)</x:f>
        <x:v>10</x:v>
      </x:c>
      <x:c r="M17" s="108" t="n">
        <x:f>L17/'見積サマリ'!$B$8</x:f>
        <x:v>1.25</x:v>
      </x:c>
      <x:c r="N17" s="108" t="n">
        <x:f>IF(D17="対象外",K17/'見積サマリ'!$B$8,0)</x:f>
        <x:v>0</x:v>
      </x:c>
      <x:c r="O17" s="67" t="str">
        <x:v>タグ設計、Service生成、CI関連確認を実機で再現</x:v>
      </x:c>
    </x:row>
    <x:row r="18" ht="34" customHeight="1">
      <x:c r="A18" s="107" t="n">
        <x:v>14</x:v>
      </x:c>
      <x:c r="B18" s="67" t="str">
        <x:v>運用者</x:v>
      </x:c>
      <x:c r="C18" s="67" t="str">
        <x:v>ServiceMapping（Entry Point）実行手順書</x:v>
      </x:c>
      <x:c r="D18" s="107" t="str">
        <x:v>対象</x:v>
      </x:c>
      <x:c r="E18" s="107" t="str">
        <x:v>低</x:v>
      </x:c>
      <x:c r="F18" s="107" t="str">
        <x:v>大</x:v>
      </x:c>
      <x:c r="G18" s="108" t="n">
        <x:v>2</x:v>
      </x:c>
      <x:c r="H18" s="108" t="n">
        <x:v>4</x:v>
      </x:c>
      <x:c r="I18" s="108" t="n">
        <x:v>4</x:v>
      </x:c>
      <x:c r="J18" s="108" t="n">
        <x:v>2</x:v>
      </x:c>
      <x:c r="K18" s="22" t="n">
        <x:f>SUM(G18:J18)</x:f>
        <x:v>12</x:v>
      </x:c>
      <x:c r="L18" s="22" t="n">
        <x:f>IF(D18="対象",K18,0)</x:f>
        <x:v>12</x:v>
      </x:c>
      <x:c r="M18" s="108" t="n">
        <x:f>L18/'見積サマリ'!$B$8</x:f>
        <x:v>1.5</x:v>
      </x:c>
      <x:c r="N18" s="108" t="n">
        <x:f>IF(D18="対象外",K18/'見積サマリ'!$B$8,0)</x:f>
        <x:v>0</x:v>
      </x:c>
      <x:c r="O18" s="67" t="str">
        <x:v>Entry PointからService Map完成までを確認</x:v>
      </x:c>
    </x:row>
    <x:row r="19" ht="34" customHeight="1">
      <x:c r="A19" s="107" t="n">
        <x:v>15</x:v>
      </x:c>
      <x:c r="B19" s="67" t="str">
        <x:v>運用者</x:v>
      </x:c>
      <x:c r="C19" s="67" t="str">
        <x:v>ServiceNow Discovery Credential設定手順書</x:v>
      </x:c>
      <x:c r="D19" s="107" t="str">
        <x:v>対象</x:v>
      </x:c>
      <x:c r="E19" s="107" t="str">
        <x:v>中</x:v>
      </x:c>
      <x:c r="F19" s="107" t="str">
        <x:v>中</x:v>
      </x:c>
      <x:c r="G19" s="108" t="n">
        <x:v>1.5</x:v>
      </x:c>
      <x:c r="H19" s="108" t="n">
        <x:v>2.5</x:v>
      </x:c>
      <x:c r="I19" s="108" t="n">
        <x:v>4</x:v>
      </x:c>
      <x:c r="J19" s="108" t="n">
        <x:v>2</x:v>
      </x:c>
      <x:c r="K19" s="22" t="n">
        <x:f>SUM(G19:J19)</x:f>
        <x:v>10</x:v>
      </x:c>
      <x:c r="L19" s="22" t="n">
        <x:f>IF(D19="対象",K19,0)</x:f>
        <x:v>10</x:v>
      </x:c>
      <x:c r="M19" s="108" t="n">
        <x:f>L19/'見積サマリ'!$B$8</x:f>
        <x:v>1.25</x:v>
      </x:c>
      <x:c r="N19" s="108" t="n">
        <x:f>IF(D19="対象外",K19/'見積サマリ'!$B$8,0)</x:f>
        <x:v>0</x:v>
      </x:c>
      <x:c r="O19" s="67" t="str">
        <x:v>Newから保存・Testまで。Windows、SSH、SNMPの差分を整理</x:v>
      </x:c>
    </x:row>
    <x:row r="20" ht="34" customHeight="1">
      <x:c r="A20" s="107" t="n">
        <x:v>16</x:v>
      </x:c>
      <x:c r="B20" s="67" t="str">
        <x:v>エンドユーザー</x:v>
      </x:c>
      <x:c r="C20" s="67" t="str">
        <x:v>ACCインストール手順書（Windows）</x:v>
      </x:c>
      <x:c r="D20" s="107" t="str">
        <x:v>対象</x:v>
      </x:c>
      <x:c r="E20" s="107" t="str">
        <x:v>中</x:v>
      </x:c>
      <x:c r="F20" s="107" t="str">
        <x:v>中</x:v>
      </x:c>
      <x:c r="G20" s="108" t="n">
        <x:v>1</x:v>
      </x:c>
      <x:c r="H20" s="108" t="n">
        <x:v>2</x:v>
      </x:c>
      <x:c r="I20" s="108" t="n">
        <x:v>2</x:v>
      </x:c>
      <x:c r="J20" s="108" t="n">
        <x:v>1</x:v>
      </x:c>
      <x:c r="K20" s="22" t="n">
        <x:f>SUM(G20:J20)</x:f>
        <x:v>6</x:v>
      </x:c>
      <x:c r="L20" s="22" t="n">
        <x:f>IF(D20="対象",K20,0)</x:f>
        <x:v>6</x:v>
      </x:c>
      <x:c r="M20" s="108" t="n">
        <x:f>L20/'見積サマリ'!$B$8</x:f>
        <x:v>0.75</x:v>
      </x:c>
      <x:c r="N20" s="108" t="n">
        <x:f>IF(D20="対象外",K20/'見積サマリ'!$B$8,0)</x:f>
        <x:v>0</x:v>
      </x:c>
      <x:c r="O20" s="67" t="str">
        <x:v>配布、登録、接続確認を利用者視点で記載</x:v>
      </x:c>
    </x:row>
    <x:row r="21" ht="34" customHeight="1">
      <x:c r="A21" s="107" t="n">
        <x:v>17</x:v>
      </x:c>
      <x:c r="B21" s="67" t="str">
        <x:v>エンドユーザー</x:v>
      </x:c>
      <x:c r="C21" s="67" t="str">
        <x:v>ACCインストール手順書（Linux）</x:v>
      </x:c>
      <x:c r="D21" s="107" t="str">
        <x:v>対象</x:v>
      </x:c>
      <x:c r="E21" s="107" t="str">
        <x:v>中</x:v>
      </x:c>
      <x:c r="F21" s="107" t="str">
        <x:v>中</x:v>
      </x:c>
      <x:c r="G21" s="108" t="n">
        <x:v>1.5</x:v>
      </x:c>
      <x:c r="H21" s="108" t="n">
        <x:v>3</x:v>
      </x:c>
      <x:c r="I21" s="108" t="n">
        <x:v>2</x:v>
      </x:c>
      <x:c r="J21" s="108" t="n">
        <x:v>1.5</x:v>
      </x:c>
      <x:c r="K21" s="22" t="n">
        <x:f>SUM(G21:J21)</x:f>
        <x:v>8</x:v>
      </x:c>
      <x:c r="L21" s="22" t="n">
        <x:f>IF(D21="対象",K21,0)</x:f>
        <x:v>8</x:v>
      </x:c>
      <x:c r="M21" s="108" t="n">
        <x:f>L21/'見積サマリ'!$B$8</x:f>
        <x:v>1</x:v>
      </x:c>
      <x:c r="N21" s="108" t="n">
        <x:f>IF(D21="対象外",K21/'見積サマリ'!$B$8,0)</x:f>
        <x:v>0</x:v>
      </x:c>
      <x:c r="O21" s="67" t="str">
        <x:v>コマンド、権限、サービス状態確認を含む</x:v>
      </x:c>
    </x:row>
    <x:row r="22" ht="34" customHeight="1">
      <x:c r="A22" s="107" t="n">
        <x:v>18</x:v>
      </x:c>
      <x:c r="B22" s="67" t="str">
        <x:v>エンドユーザー</x:v>
      </x:c>
      <x:c r="C22" s="67" t="str">
        <x:v>Credential Discovery（Windows）用設定手順書</x:v>
      </x:c>
      <x:c r="D22" s="107" t="str">
        <x:v>対象</x:v>
      </x:c>
      <x:c r="E22" s="107" t="str">
        <x:v>中</x:v>
      </x:c>
      <x:c r="F22" s="107" t="str">
        <x:v>小</x:v>
      </x:c>
      <x:c r="G22" s="108" t="n">
        <x:v>0.25</x:v>
      </x:c>
      <x:c r="H22" s="108" t="n">
        <x:v>0.5</x:v>
      </x:c>
      <x:c r="I22" s="108" t="n">
        <x:v>0.75</x:v>
      </x:c>
      <x:c r="J22" s="108" t="n">
        <x:v>0.5</x:v>
      </x:c>
      <x:c r="K22" s="22" t="n">
        <x:f>SUM(G22:J22)</x:f>
        <x:v>2</x:v>
      </x:c>
      <x:c r="L22" s="22" t="n">
        <x:f>IF(D22="対象",K22,0)</x:f>
        <x:v>2</x:v>
      </x:c>
      <x:c r="M22" s="108" t="n">
        <x:f>L22/'見積サマリ'!$B$8</x:f>
        <x:v>0.25</x:v>
      </x:c>
      <x:c r="N22" s="108" t="n">
        <x:f>IF(D22="対象外",K22/'見積サマリ'!$B$8,0)</x:f>
        <x:v>0</x:v>
      </x:c>
      <x:c r="O22" s="67" t="str">
        <x:v>少数画面の設定入力と確認に限定</x:v>
      </x:c>
    </x:row>
    <x:row r="23" ht="34" customHeight="1">
      <x:c r="A23" s="107" t="n">
        <x:v>19</x:v>
      </x:c>
      <x:c r="B23" s="67" t="str">
        <x:v>エンドユーザー</x:v>
      </x:c>
      <x:c r="C23" s="67" t="str">
        <x:v>Credential Discovery（Linux）用設定手順書</x:v>
      </x:c>
      <x:c r="D23" s="107" t="str">
        <x:v>対象</x:v>
      </x:c>
      <x:c r="E23" s="107" t="str">
        <x:v>中</x:v>
      </x:c>
      <x:c r="F23" s="107" t="str">
        <x:v>小</x:v>
      </x:c>
      <x:c r="G23" s="108" t="n">
        <x:v>0.25</x:v>
      </x:c>
      <x:c r="H23" s="108" t="n">
        <x:v>0.5</x:v>
      </x:c>
      <x:c r="I23" s="108" t="n">
        <x:v>0.75</x:v>
      </x:c>
      <x:c r="J23" s="108" t="n">
        <x:v>0.5</x:v>
      </x:c>
      <x:c r="K23" s="22" t="n">
        <x:f>SUM(G23:J23)</x:f>
        <x:v>2</x:v>
      </x:c>
      <x:c r="L23" s="22" t="n">
        <x:f>IF(D23="対象",K23,0)</x:f>
        <x:v>2</x:v>
      </x:c>
      <x:c r="M23" s="108" t="n">
        <x:f>L23/'見積サマリ'!$B$8</x:f>
        <x:v>0.25</x:v>
      </x:c>
      <x:c r="N23" s="108" t="n">
        <x:f>IF(D23="対象外",K23/'見積サマリ'!$B$8,0)</x:f>
        <x:v>0</x:v>
      </x:c>
      <x:c r="O23" s="67" t="str">
        <x:v>SSH・権限の設定入力と確認に限定</x:v>
      </x:c>
    </x:row>
    <x:row r="24" ht="34" customHeight="1">
      <x:c r="A24" s="107" t="n">
        <x:v>20</x:v>
      </x:c>
      <x:c r="B24" s="67" t="str">
        <x:v>エンドユーザー</x:v>
      </x:c>
      <x:c r="C24" s="67" t="str">
        <x:v>Credential Discovery（ESXi）用設定手順書</x:v>
      </x:c>
      <x:c r="D24" s="107" t="str">
        <x:v>対象</x:v>
      </x:c>
      <x:c r="E24" s="107" t="str">
        <x:v>低</x:v>
      </x:c>
      <x:c r="F24" s="107" t="str">
        <x:v>小</x:v>
      </x:c>
      <x:c r="G24" s="108" t="n">
        <x:v>0.25</x:v>
      </x:c>
      <x:c r="H24" s="108" t="n">
        <x:v>0.5</x:v>
      </x:c>
      <x:c r="I24" s="108" t="n">
        <x:v>0.75</x:v>
      </x:c>
      <x:c r="J24" s="108" t="n">
        <x:v>0.5</x:v>
      </x:c>
      <x:c r="K24" s="22" t="n">
        <x:f>SUM(G24:J24)</x:f>
        <x:v>2</x:v>
      </x:c>
      <x:c r="L24" s="22" t="n">
        <x:f>IF(D24="対象",K24,0)</x:f>
        <x:v>2</x:v>
      </x:c>
      <x:c r="M24" s="108" t="n">
        <x:f>L24/'見積サマリ'!$B$8</x:f>
        <x:v>0.25</x:v>
      </x:c>
      <x:c r="N24" s="108" t="n">
        <x:f>IF(D24="対象外",K24/'見積サマリ'!$B$8,0)</x:f>
        <x:v>0</x:v>
      </x:c>
      <x:c r="O24" s="67" t="str">
        <x:v>ESXi側のCredential用設定と確認箇所を整理</x:v>
      </x:c>
    </x:row>
    <x:row r="25" ht="34" customHeight="1">
      <x:c r="A25" s="107" t="n">
        <x:v>21</x:v>
      </x:c>
      <x:c r="B25" s="67" t="str">
        <x:v>エンドユーザー</x:v>
      </x:c>
      <x:c r="C25" s="67" t="str">
        <x:v>Credential Discovery（NW SNMP）用設定手順書</x:v>
      </x:c>
      <x:c r="D25" s="107" t="str">
        <x:v>対象</x:v>
      </x:c>
      <x:c r="E25" s="107" t="str">
        <x:v>中</x:v>
      </x:c>
      <x:c r="F25" s="107" t="str">
        <x:v>小</x:v>
      </x:c>
      <x:c r="G25" s="108" t="n">
        <x:v>0.25</x:v>
      </x:c>
      <x:c r="H25" s="108" t="n">
        <x:v>0.5</x:v>
      </x:c>
      <x:c r="I25" s="108" t="n">
        <x:v>0.75</x:v>
      </x:c>
      <x:c r="J25" s="108" t="n">
        <x:v>0.5</x:v>
      </x:c>
      <x:c r="K25" s="22" t="n">
        <x:f>SUM(G25:J25)</x:f>
        <x:v>2</x:v>
      </x:c>
      <x:c r="L25" s="22" t="n">
        <x:f>IF(D25="対象",K25,0)</x:f>
        <x:v>2</x:v>
      </x:c>
      <x:c r="M25" s="108" t="n">
        <x:f>L25/'見積サマリ'!$B$8</x:f>
        <x:v>0.25</x:v>
      </x:c>
      <x:c r="N25" s="108" t="n">
        <x:f>IF(D25="対象外",K25/'見積サマリ'!$B$8,0)</x:f>
        <x:v>0</x:v>
      </x:c>
      <x:c r="O25" s="67" t="str">
        <x:v>SNMP設定入力と疎通確認に限定</x:v>
      </x:c>
    </x:row>
    <x:row r="26" ht="34" customHeight="1">
      <x:c r="A26" s="107" t="n">
        <x:v>22</x:v>
      </x:c>
      <x:c r="B26" s="67" t="str">
        <x:v>エンドユーザー</x:v>
      </x:c>
      <x:c r="C26" s="67" t="str">
        <x:v>Cloud Discovery（Azure）用設定手順書</x:v>
      </x:c>
      <x:c r="D26" s="107" t="str">
        <x:v>対象</x:v>
      </x:c>
      <x:c r="E26" s="107" t="str">
        <x:v>高</x:v>
      </x:c>
      <x:c r="F26" s="107" t="str">
        <x:v>小</x:v>
      </x:c>
      <x:c r="G26" s="108" t="n">
        <x:v>0.5</x:v>
      </x:c>
      <x:c r="H26" s="108" t="n">
        <x:v>1</x:v>
      </x:c>
      <x:c r="I26" s="108" t="n">
        <x:v>1.5</x:v>
      </x:c>
      <x:c r="J26" s="108" t="n">
        <x:v>1</x:v>
      </x:c>
      <x:c r="K26" s="22" t="n">
        <x:f>SUM(G26:J26)</x:f>
        <x:v>4</x:v>
      </x:c>
      <x:c r="L26" s="22" t="n">
        <x:f>IF(D26="対象",K26,0)</x:f>
        <x:v>4</x:v>
      </x:c>
      <x:c r="M26" s="108" t="n">
        <x:f>L26/'見積サマリ'!$B$8</x:f>
        <x:v>0.5</x:v>
      </x:c>
      <x:c r="N26" s="108" t="n">
        <x:f>IF(D26="対象外",K26/'見積サマリ'!$B$8,0)</x:f>
        <x:v>0</x:v>
      </x:c>
      <x:c r="O26" s="67" t="str">
        <x:v>Azure側権限・登録情報・確認箇所を整理</x:v>
      </x:c>
    </x:row>
    <x:row r="27" ht="34" customHeight="1">
      <x:c r="A27" s="107" t="n">
        <x:v>23</x:v>
      </x:c>
      <x:c r="B27" s="67" t="str">
        <x:v>エンドユーザー</x:v>
      </x:c>
      <x:c r="C27" s="67" t="str">
        <x:v>Cloud Discovery（AWS）用設定手順書</x:v>
      </x:c>
      <x:c r="D27" s="107" t="str">
        <x:v>対象</x:v>
      </x:c>
      <x:c r="E27" s="107" t="str">
        <x:v>低</x:v>
      </x:c>
      <x:c r="F27" s="107" t="str">
        <x:v>小</x:v>
      </x:c>
      <x:c r="G27" s="108" t="n">
        <x:v>0.5</x:v>
      </x:c>
      <x:c r="H27" s="108" t="n">
        <x:v>1</x:v>
      </x:c>
      <x:c r="I27" s="108" t="n">
        <x:v>1.5</x:v>
      </x:c>
      <x:c r="J27" s="108" t="n">
        <x:v>1</x:v>
      </x:c>
      <x:c r="K27" s="22" t="n">
        <x:f>SUM(G27:J27)</x:f>
        <x:v>4</x:v>
      </x:c>
      <x:c r="L27" s="22" t="n">
        <x:f>IF(D27="対象",K27,0)</x:f>
        <x:v>4</x:v>
      </x:c>
      <x:c r="M27" s="108" t="n">
        <x:f>L27/'見積サマリ'!$B$8</x:f>
        <x:v>0.5</x:v>
      </x:c>
      <x:c r="N27" s="108" t="n">
        <x:f>IF(D27="対象外",K27/'見積サマリ'!$B$8,0)</x:f>
        <x:v>0</x:v>
      </x:c>
      <x:c r="O27" s="67" t="str">
        <x:v>AWS側の権限・登録情報・確認箇所を整理</x:v>
      </x:c>
    </x:row>
    <x:row r="28" ht="34" customHeight="1">
      <x:c r="A28" s="107" t="n">
        <x:v>24</x:v>
      </x:c>
      <x:c r="B28" s="67" t="str">
        <x:v>エンドユーザー</x:v>
      </x:c>
      <x:c r="C28" s="67" t="str">
        <x:v>Cloud Discovery（GCP）用設定手順書</x:v>
      </x:c>
      <x:c r="D28" s="107" t="str">
        <x:v>対象</x:v>
      </x:c>
      <x:c r="E28" s="107" t="str">
        <x:v>低</x:v>
      </x:c>
      <x:c r="F28" s="107" t="str">
        <x:v>小</x:v>
      </x:c>
      <x:c r="G28" s="108" t="n">
        <x:v>0.5</x:v>
      </x:c>
      <x:c r="H28" s="108" t="n">
        <x:v>1</x:v>
      </x:c>
      <x:c r="I28" s="108" t="n">
        <x:v>1.5</x:v>
      </x:c>
      <x:c r="J28" s="108" t="n">
        <x:v>1</x:v>
      </x:c>
      <x:c r="K28" s="22" t="n">
        <x:f>SUM(G28:J28)</x:f>
        <x:v>4</x:v>
      </x:c>
      <x:c r="L28" s="22" t="n">
        <x:f>IF(D28="対象",K28,0)</x:f>
        <x:v>4</x:v>
      </x:c>
      <x:c r="M28" s="108" t="n">
        <x:f>L28/'見積サマリ'!$B$8</x:f>
        <x:v>0.5</x:v>
      </x:c>
      <x:c r="N28" s="108" t="n">
        <x:f>IF(D28="対象外",K28/'見積サマリ'!$B$8,0)</x:f>
        <x:v>0</x:v>
      </x:c>
      <x:c r="O28" s="67" t="str">
        <x:v>GCP側の権限・登録情報・確認箇所を整理</x:v>
      </x:c>
    </x:row>
    <x:row r="29" ht="34" customHeight="1">
      <x:c r="A29" s="107" t="n">
        <x:v>25</x:v>
      </x:c>
      <x:c r="B29" s="67" t="str">
        <x:v>エンドユーザー</x:v>
      </x:c>
      <x:c r="C29" s="67" t="str">
        <x:v>ServiceMapping（Tag-Based）用設定手順書</x:v>
      </x:c>
      <x:c r="D29" s="107" t="str">
        <x:v>対象</x:v>
      </x:c>
      <x:c r="E29" s="107" t="str">
        <x:v>低</x:v>
      </x:c>
      <x:c r="F29" s="107" t="str">
        <x:v>小</x:v>
      </x:c>
      <x:c r="G29" s="108" t="n">
        <x:v>0.5</x:v>
      </x:c>
      <x:c r="H29" s="108" t="n">
        <x:v>1</x:v>
      </x:c>
      <x:c r="I29" s="108" t="n">
        <x:v>1.5</x:v>
      </x:c>
      <x:c r="J29" s="108" t="n">
        <x:v>1</x:v>
      </x:c>
      <x:c r="K29" s="22" t="n">
        <x:f>SUM(G29:J29)</x:f>
        <x:v>4</x:v>
      </x:c>
      <x:c r="L29" s="22" t="n">
        <x:f>IF(D29="対象",K29,0)</x:f>
        <x:v>4</x:v>
      </x:c>
      <x:c r="M29" s="108" t="n">
        <x:f>L29/'見積サマリ'!$B$8</x:f>
        <x:v>0.5</x:v>
      </x:c>
      <x:c r="N29" s="108" t="n">
        <x:f>IF(D29="対象外",K29/'見積サマリ'!$B$8,0)</x:f>
        <x:v>0</x:v>
      </x:c>
      <x:c r="O29" s="67" t="str">
        <x:v>タグ付与ルールと対象リソース側設定</x:v>
      </x:c>
    </x:row>
    <x:row r="30" ht="34" customHeight="1">
      <x:c r="A30" s="107" t="n">
        <x:v>26</x:v>
      </x:c>
      <x:c r="B30" s="67" t="str">
        <x:v>エンドユーザー</x:v>
      </x:c>
      <x:c r="C30" s="67" t="str">
        <x:v>ServiceMapping（Entry Point）用設定手順書</x:v>
      </x:c>
      <x:c r="D30" s="107" t="str">
        <x:v>対象</x:v>
      </x:c>
      <x:c r="E30" s="107" t="str">
        <x:v>低</x:v>
      </x:c>
      <x:c r="F30" s="107" t="str">
        <x:v>小</x:v>
      </x:c>
      <x:c r="G30" s="108" t="n">
        <x:v>0.5</x:v>
      </x:c>
      <x:c r="H30" s="108" t="n">
        <x:v>1</x:v>
      </x:c>
      <x:c r="I30" s="108" t="n">
        <x:v>1.5</x:v>
      </x:c>
      <x:c r="J30" s="108" t="n">
        <x:v>1</x:v>
      </x:c>
      <x:c r="K30" s="22" t="n">
        <x:f>SUM(G30:J30)</x:f>
        <x:v>4</x:v>
      </x:c>
      <x:c r="L30" s="22" t="n">
        <x:f>IF(D30="対象",K30,0)</x:f>
        <x:v>4</x:v>
      </x:c>
      <x:c r="M30" s="108" t="n">
        <x:f>L30/'見積サマリ'!$B$8</x:f>
        <x:v>0.5</x:v>
      </x:c>
      <x:c r="N30" s="108" t="n">
        <x:f>IF(D30="対象外",K30/'見積サマリ'!$B$8,0)</x:f>
        <x:v>0</x:v>
      </x:c>
      <x:c r="O30" s="67" t="str">
        <x:v>Entry Point情報、接続要件、事前確認</x:v>
      </x:c>
    </x:row>
    <x:row r="31">
      <x:c r="A31" s="109" t="str">
        <x:v>合計</x:v>
      </x:c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10" t="n">
        <x:f>SUM(K5:K30)</x:f>
        <x:v>182</x:v>
      </x:c>
      <x:c r="L31" s="110" t="n">
        <x:f>SUM(L5:L30)</x:f>
        <x:v>182</x:v>
      </x:c>
      <x:c r="M31" s="111" t="n">
        <x:f>SUM(M5:M30)</x:f>
        <x:v>22.75</x:v>
      </x:c>
      <x:c r="N31" s="111" t="n">
        <x:f>SUM(N5:N30)</x:f>
        <x:v>0</x:v>
      </x:c>
      <x:c r="O31" s="109" t="str">
        <x:v>全26手順を対象（対象外なし）</x:v>
      </x:c>
    </x:row>
  </x:sheetData>
  <x:mergeCells>
    <x:mergeCell ref="A1:O1"/>
    <x:mergeCell ref="A2:O2"/>
    <x:mergeCell ref="A31:J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3.75" hidden="0" customWidth="1"/>
    <x:col min="3" max="3" width="45" hidden="0" customWidth="1"/>
    <x:col min="4" max="4" width="30" hidden="0" customWidth="1"/>
    <x:col min="5" max="5" width="11.25" hidden="0" customWidth="1"/>
    <x:col min="6" max="6" width="11.25" hidden="0" customWidth="1"/>
  </x:cols>
  <x:sheetData>
    <x:row r="1" ht="34" customHeight="1">
      <x:c r="A1" s="3" t="str">
        <x:v>共通作業 工数内訳</x:v>
      </x:c>
      <x:c r="B1" s="3"/>
      <x:c r="C1" s="3"/>
      <x:c r="D1" s="3"/>
      <x:c r="E1" s="3"/>
      <x:c r="F1" s="3"/>
    </x:row>
    <x:row r="2">
      <x:c r="A2" s="5" t="str">
        <x:v>各手順に共通する品質・管理作業。手順別内訳との二重計上はしない</x:v>
      </x:c>
      <x:c r="B2" s="5"/>
      <x:c r="C2" s="5"/>
      <x:c r="D2" s="5"/>
      <x:c r="E2" s="5"/>
      <x:c r="F2" s="5"/>
    </x:row>
    <x:row r="4">
      <x:c r="A4" s="77" t="str">
        <x:v>#</x:v>
      </x:c>
      <x:c r="B4" s="77" t="str">
        <x:v>共通作業</x:v>
      </x:c>
      <x:c r="C4" s="77" t="str">
        <x:v>内容</x:v>
      </x:c>
      <x:c r="D4" s="77" t="str">
        <x:v>成果・判定</x:v>
      </x:c>
      <x:c r="E4" s="77" t="str">
        <x:v>工数(h)</x:v>
      </x:c>
      <x:c r="F4" s="77" t="str">
        <x:v>人日</x:v>
      </x:c>
    </x:row>
    <x:row r="5" ht="40" customHeight="1">
      <x:c r="A5" s="107" t="n">
        <x:v>1</x:v>
      </x:c>
      <x:c r="B5" s="67" t="str">
        <x:v>テンプレート・ファイル構成整備</x:v>
      </x:c>
      <x:c r="C5" s="67" t="str">
        <x:v>3ファイルの目次、シート構成、チェック欄、命名規則を統一</x:v>
      </x:c>
      <x:c r="D5" s="67" t="str">
        <x:v>サンプル形式に準拠</x:v>
      </x:c>
      <x:c r="E5" s="22" t="n">
        <x:v>4</x:v>
      </x:c>
      <x:c r="F5" s="108" t="n">
        <x:f>E5/'見積サマリ'!$B$8</x:f>
        <x:v>0.5</x:v>
      </x:c>
    </x:row>
    <x:row r="6" ht="40" customHeight="1">
      <x:c r="A6" s="107" t="n">
        <x:v>2</x:v>
      </x:c>
      <x:c r="B6" s="67" t="str">
        <x:v>用語・セキュリティ統一</x:v>
      </x:c>
      <x:c r="C6" s="67" t="str">
        <x:v>日本語表記、Credential名、秘密情報・IDのマスキング基準を統一</x:v>
      </x:c>
      <x:c r="D6" s="67" t="str">
        <x:v>機密値が成果物に残らない</x:v>
      </x:c>
      <x:c r="E6" s="22" t="n">
        <x:v>2</x:v>
      </x:c>
      <x:c r="F6" s="108" t="n">
        <x:f>E6/'見積サマリ'!$B$8</x:f>
        <x:v>0.25</x:v>
      </x:c>
    </x:row>
    <x:row r="7" ht="40" customHeight="1">
      <x:c r="A7" s="107" t="n">
        <x:v>3</x:v>
      </x:c>
      <x:c r="B7" s="67" t="str">
        <x:v>全体整合性確認</x:v>
      </x:c>
      <x:c r="C7" s="67" t="str">
        <x:v>管理者・運用者・利用者の前後関係、参照先、重複記載を確認</x:v>
      </x:c>
      <x:c r="D7" s="67" t="str">
        <x:v>26手順間で矛盾がない</x:v>
      </x:c>
      <x:c r="E7" s="22" t="n">
        <x:v>6</x:v>
      </x:c>
      <x:c r="F7" s="108" t="n">
        <x:f>E7/'見積サマリ'!$B$8</x:f>
        <x:v>0.75</x:v>
      </x:c>
    </x:row>
    <x:row r="8" ht="40" customHeight="1">
      <x:c r="A8" s="107" t="n">
        <x:v>4</x:v>
      </x:c>
      <x:c r="B8" s="67" t="str">
        <x:v>レビュー・修正（2回）</x:v>
      </x:c>
      <x:c r="C8" s="67" t="str">
        <x:v>有識者／Leaderレビュー、指摘反映、再確認</x:v>
      </x:c>
      <x:c r="D8" s="67" t="str">
        <x:v>レビュー2回分を含む</x:v>
      </x:c>
      <x:c r="E8" s="22" t="n">
        <x:v>12</x:v>
      </x:c>
      <x:c r="F8" s="108" t="n">
        <x:f>E8/'見積サマリ'!$B$8</x:f>
        <x:v>1.5</x:v>
      </x:c>
    </x:row>
    <x:row r="9" ht="40" customHeight="1">
      <x:c r="A9" s="107" t="n">
        <x:v>5</x:v>
      </x:c>
      <x:c r="B9" s="67" t="str">
        <x:v>進捗・品質・納品管理</x:v>
      </x:c>
      <x:c r="C9" s="67" t="str">
        <x:v>進捗共有、版管理、ファイル名・目次・最終格納確認</x:v>
      </x:c>
      <x:c r="D9" s="67" t="str">
        <x:v>3ファイルを提出可能な状態にする</x:v>
      </x:c>
      <x:c r="E9" s="22" t="n">
        <x:v>6</x:v>
      </x:c>
      <x:c r="F9" s="108" t="n">
        <x:f>E9/'見積サマリ'!$B$8</x:f>
        <x:v>0.75</x:v>
      </x:c>
    </x:row>
    <x:row r="10">
      <x:c r="A10" s="109" t="str">
        <x:v>合計</x:v>
      </x:c>
      <x:c r="B10" s="109"/>
      <x:c r="C10" s="109"/>
      <x:c r="D10" s="109"/>
      <x:c r="E10" s="110" t="n">
        <x:f>SUM(E5:E9)</x:f>
        <x:v>30</x:v>
      </x:c>
      <x:c r="F10" s="111" t="n">
        <x:f>SUM(F5:F9)</x:f>
        <x:v>3.75</x:v>
      </x:c>
    </x:row>
  </x:sheetData>
  <x:mergeCells>
    <x:mergeCell ref="A1:F1"/>
    <x:mergeCell ref="A2:F2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28.75" hidden="0" customWidth="1"/>
    <x:col min="3" max="3" width="52.5" hidden="0" customWidth="1"/>
    <x:col min="4" max="4" width="23.75" hidden="0" customWidth="1"/>
    <x:col min="5" max="5" width="16.8799991607666" hidden="0" customWidth="1"/>
    <x:col min="6" max="6" width="11.25" hidden="0" customWidth="1"/>
  </x:cols>
  <x:sheetData>
    <x:row r="1" ht="34" customHeight="1">
      <x:c r="A1" s="3" t="str">
        <x:v>見積前提・対象外・変更条件</x:v>
      </x:c>
      <x:c r="B1" s="3"/>
      <x:c r="C1" s="3"/>
      <x:c r="D1" s="3"/>
      <x:c r="E1" s="3"/>
      <x:c r="F1" s="3"/>
    </x:row>
    <x:row r="3">
      <x:c r="A3" s="10" t="str">
        <x:v>見積前提</x:v>
      </x:c>
      <x:c r="B3" s="10"/>
      <x:c r="C3" s="10"/>
      <x:c r="D3" s="10"/>
      <x:c r="E3" s="10"/>
      <x:c r="F3" s="10"/>
    </x:row>
    <x:row r="4">
      <x:c r="A4" s="77" t="str">
        <x:v>No.</x:v>
      </x:c>
      <x:c r="B4" s="77" t="str">
        <x:v>項目</x:v>
      </x:c>
      <x:c r="C4" s="77" t="str">
        <x:v>前提内容</x:v>
      </x:c>
      <x:c r="D4" s="77" t="str">
        <x:v>影響</x:v>
      </x:c>
      <x:c r="E4" s="77" t="str">
        <x:v>確認先</x:v>
      </x:c>
      <x:c r="F4" s="77" t="str">
        <x:v>状態</x:v>
      </x:c>
    </x:row>
    <x:row r="5" ht="38" customHeight="1">
      <x:c r="A5" s="107" t="n">
        <x:v>1</x:v>
      </x:c>
      <x:c r="B5" s="67" t="str">
        <x:v>工数単位</x:v>
      </x:c>
      <x:c r="C5" s="67" t="str">
        <x:v>1人日＝8時間</x:v>
      </x:c>
      <x:c r="D5" s="67" t="str">
        <x:v>固定</x:v>
      </x:c>
      <x:c r="E5" s="67" t="str">
        <x:v>プロジェクト基準</x:v>
      </x:c>
      <x:c r="F5" s="107" t="str">
        <x:v>前提</x:v>
      </x:c>
    </x:row>
    <x:row r="6" ht="38" customHeight="1">
      <x:c r="A6" s="107" t="n">
        <x:v>2</x:v>
      </x:c>
      <x:c r="B6" s="67" t="str">
        <x:v>成果物構成</x:v>
      </x:c>
      <x:c r="C6" s="67" t="str">
        <x:v>システム管理者向け、運用者向け、エンドユーザー向けの3Excelファイル</x:v>
      </x:c>
      <x:c r="D6" s="67" t="str">
        <x:v>固定</x:v>
      </x:c>
      <x:c r="E6" s="67" t="str">
        <x:v>提供された全体像</x:v>
      </x:c>
      <x:c r="F6" s="107" t="str">
        <x:v>前提</x:v>
      </x:c>
    </x:row>
    <x:row r="7" ht="38" customHeight="1">
      <x:c r="A7" s="107" t="n">
        <x:v>3</x:v>
      </x:c>
      <x:c r="B7" s="67" t="str">
        <x:v>記載品質</x:v>
      </x:c>
      <x:c r="C7" s="67" t="str">
        <x:v>各ステップに操作、スクリーンショット、確認内容、実施／確認欄を設ける</x:v>
      </x:c>
      <x:c r="D7" s="67" t="str">
        <x:v>工数の主要因</x:v>
      </x:c>
      <x:c r="E7" s="67" t="str">
        <x:v>提供サンプル</x:v>
      </x:c>
      <x:c r="F7" s="107" t="str">
        <x:v>前提</x:v>
      </x:c>
    </x:row>
    <x:row r="8" ht="38" customHeight="1">
      <x:c r="A8" s="107" t="n">
        <x:v>4</x:v>
      </x:c>
      <x:c r="B8" s="67" t="str">
        <x:v>対象範囲</x:v>
      </x:c>
      <x:c r="C8" s="67" t="str">
        <x:v>全26手順。ESXi、AWS、GCP関連6手順も対象に含む</x:v>
      </x:c>
      <x:c r="D8" s="67" t="str">
        <x:v>固定</x:v>
      </x:c>
      <x:c r="E8" s="67" t="str">
        <x:v>Leader</x:v>
      </x:c>
      <x:c r="F8" s="112" t="str">
        <x:v>確定</x:v>
      </x:c>
    </x:row>
    <x:row r="9" ht="38" customHeight="1">
      <x:c r="A9" s="107" t="n">
        <x:v>5</x:v>
      </x:c>
      <x:c r="B9" s="67" t="str">
        <x:v>既存資料</x:v>
      </x:c>
      <x:c r="C9" s="67" t="str">
        <x:v>PoC時の日本語・中国語資料、証跡、既存手順を再利用できる</x:v>
      </x:c>
      <x:c r="D9" s="67" t="str">
        <x:v>再利用不可なら増加</x:v>
      </x:c>
      <x:c r="E9" s="67" t="str">
        <x:v>作成担当</x:v>
      </x:c>
      <x:c r="F9" s="107" t="str">
        <x:v>前提</x:v>
      </x:c>
    </x:row>
    <x:row r="10" ht="38" customHeight="1">
      <x:c r="A10" s="107" t="n">
        <x:v>6</x:v>
      </x:c>
      <x:c r="B10" s="67" t="str">
        <x:v>実機環境</x:v>
      </x:c>
      <x:c r="C10" s="67" t="str">
        <x:v>ServiceNow Dev、Azure、MID/対象VMへ必要な権限でアクセスできる</x:v>
      </x:c>
      <x:c r="D10" s="67" t="str">
        <x:v>アクセス不可期間は日程外</x:v>
      </x:c>
      <x:c r="E10" s="67" t="str">
        <x:v>環境管理者</x:v>
      </x:c>
      <x:c r="F10" s="107" t="str">
        <x:v>前提</x:v>
      </x:c>
    </x:row>
    <x:row r="11" ht="38" customHeight="1">
      <x:c r="A11" s="107" t="n">
        <x:v>7</x:v>
      </x:c>
      <x:c r="B11" s="67" t="str">
        <x:v>レビュー</x:v>
      </x:c>
      <x:c r="C11" s="67" t="str">
        <x:v>有識者／Leaderレビュー2回と軽微修正を含む</x:v>
      </x:c>
      <x:c r="D11" s="67" t="str">
        <x:v>3回目以降は追加</x:v>
      </x:c>
      <x:c r="E11" s="67" t="str">
        <x:v>Leader</x:v>
      </x:c>
      <x:c r="F11" s="107" t="str">
        <x:v>前提</x:v>
      </x:c>
    </x:row>
    <x:row r="13">
      <x:c r="A13" s="10" t="str">
        <x:v>見積対象外</x:v>
      </x:c>
      <x:c r="B13" s="10"/>
      <x:c r="C13" s="10"/>
      <x:c r="D13" s="10"/>
      <x:c r="E13" s="10"/>
      <x:c r="F13" s="10"/>
    </x:row>
    <x:row r="14">
      <x:c r="A14" s="77" t="str">
        <x:v>No.</x:v>
      </x:c>
      <x:c r="B14" s="77" t="str">
        <x:v>対象外作業</x:v>
      </x:c>
      <x:c r="C14" s="77" t="str">
        <x:v>扱い</x:v>
      </x:c>
    </x:row>
    <x:row r="15" ht="38" customHeight="1">
      <x:c r="A15" s="107" t="n">
        <x:v>1</x:v>
      </x:c>
      <x:c r="B15" s="67" t="str">
        <x:v>権限、Credential、証明書、FW/NSGの申請・払い出し・承認待ち</x:v>
      </x:c>
      <x:c r="C15" s="67" t="str">
        <x:v>待ち時間および他チーム作業は含まない</x:v>
      </x:c>
    </x:row>
    <x:row r="16" ht="38" customHeight="1">
      <x:c r="A16" s="107" t="n">
        <x:v>2</x:v>
      </x:c>
      <x:c r="B16" s="67" t="str">
        <x:v>PoC環境自体の再構築、障害原因調査、製品不具合対応</x:v>
      </x:c>
      <x:c r="C16" s="67" t="str">
        <x:v>発生時は実績精算または再見積</x:v>
      </x:c>
    </x:row>
    <x:row r="17" ht="38" customHeight="1">
      <x:c r="A17" s="107" t="n">
        <x:v>3</x:v>
      </x:c>
      <x:c r="B17" s="67" t="str">
        <x:v>本番環境への導入・設定変更・リリース作業</x:v>
      </x:c>
      <x:c r="C17" s="67" t="str">
        <x:v>本見積は手順書作成のみ</x:v>
      </x:c>
    </x:row>
    <x:row r="18" ht="38" customHeight="1">
      <x:c r="A18" s="107" t="n">
        <x:v>4</x:v>
      </x:c>
      <x:c r="B18" s="67" t="str">
        <x:v>英語版・中国語版など日本語以外の成果物</x:v>
      </x:c>
      <x:c r="C18" s="67" t="str">
        <x:v>必要時は別途見積</x:v>
      </x:c>
    </x:row>
    <x:row r="19" ht="38" customHeight="1">
      <x:c r="A19" s="107" t="n">
        <x:v>5</x:v>
      </x:c>
      <x:c r="B19" s="67" t="str">
        <x:v>対象26手順以外の追加機能・追加パターン</x:v>
      </x:c>
      <x:c r="C19" s="67" t="str">
        <x:v>要求確定後に別途見積</x:v>
      </x:c>
    </x:row>
    <x:row r="20" ht="38" customHeight="1">
      <x:c r="A20" s="107" t="n">
        <x:v>6</x:v>
      </x:c>
      <x:c r="B20" s="67" t="str">
        <x:v>大幅なテンプレート変更または成果物分割</x:v>
      </x:c>
      <x:c r="C20" s="67" t="str">
        <x:v>要求確定後に再見積</x:v>
      </x:c>
    </x:row>
    <x:row r="22">
      <x:c r="A22" s="10" t="str">
        <x:v>変更時の目安</x:v>
      </x:c>
      <x:c r="B22" s="10"/>
      <x:c r="C22" s="10"/>
      <x:c r="D22" s="10"/>
      <x:c r="E22" s="10"/>
      <x:c r="F22" s="10"/>
    </x:row>
    <x:row r="23">
      <x:c r="A23" s="77" t="str">
        <x:v>No.</x:v>
      </x:c>
      <x:c r="B23" s="77" t="str">
        <x:v>変更内容</x:v>
      </x:c>
      <x:c r="C23" s="77" t="str">
        <x:v>追加工数の考え方</x:v>
      </x:c>
      <x:c r="D23" s="77" t="str">
        <x:v>目安</x:v>
      </x:c>
      <x:c r="E23" s="77" t="str">
        <x:v>備考</x:v>
      </x:c>
    </x:row>
    <x:row r="24" ht="40" customHeight="1">
      <x:c r="A24" s="107" t="n">
        <x:v>1</x:v>
      </x:c>
      <x:c r="B24" s="67" t="str">
        <x:v>対象手順を追加</x:v>
      </x:c>
      <x:c r="C24" s="67" t="str">
        <x:v>小2～4h、中6～10h、大12～16hを基準に追加</x:v>
      </x:c>
      <x:c r="D24" s="67" t="str">
        <x:v>手順ごとに算定</x:v>
      </x:c>
      <x:c r="E24" s="67" t="str">
        <x:v>追加後に15%バッファを適用</x:v>
      </x:c>
    </x:row>
    <x:row r="25" ht="40" customHeight="1">
      <x:c r="A25" s="107" t="n">
        <x:v>2</x:v>
      </x:c>
      <x:c r="B25" s="67" t="str">
        <x:v>レビューを1回追加</x:v>
      </x:c>
      <x:c r="C25" s="67" t="str">
        <x:v>全体レビュー・反映・再確認</x:v>
      </x:c>
      <x:c r="D25" s="67" t="str">
        <x:v>1.5人日／回</x:v>
      </x:c>
      <x:c r="E25" s="67" t="str">
        <x:v>指摘が大規模な場合は別途</x:v>
      </x:c>
    </x:row>
    <x:row r="26" ht="40" customHeight="1">
      <x:c r="A26" s="107" t="n">
        <x:v>3</x:v>
      </x:c>
      <x:c r="B26" s="67" t="str">
        <x:v>リリース／UI変更による全面再撮影</x:v>
      </x:c>
      <x:c r="C26" s="67" t="str">
        <x:v>対象手順の画面取得・差し替え・再確認</x:v>
      </x:c>
      <x:c r="D26" s="67" t="str">
        <x:v>0.25～0.5人日／手順</x:v>
      </x:c>
      <x:c r="E26" s="67" t="str">
        <x:v>影響範囲を確認して適用</x:v>
      </x:c>
    </x:row>
    <x:row r="27" ht="40" customHeight="1">
      <x:c r="A27" s="107" t="n">
        <x:v>4</x:v>
      </x:c>
      <x:c r="B27" s="67" t="str">
        <x:v>既存PoC資料が再利用不可</x:v>
      </x:c>
      <x:c r="C27" s="67" t="str">
        <x:v>調査・構成と実機確認を再実施</x:v>
      </x:c>
      <x:c r="D27" s="67" t="str">
        <x:v>基礎工数＋15～20%</x:v>
      </x:c>
      <x:c r="E27" s="67" t="str">
        <x:v>再利用可否確定後に更新</x:v>
      </x:c>
    </x:row>
    <x:row r="28" ht="40" customHeight="1">
      <x:c r="A28" s="107" t="n">
        <x:v>5</x:v>
      </x:c>
      <x:c r="B28" s="67" t="str">
        <x:v>大幅なテンプレート変更・成果物分割</x:v>
      </x:c>
      <x:c r="C28" s="67" t="str">
        <x:v>構成再設計と全体整合性確認を再実施</x:v>
      </x:c>
      <x:c r="D28" s="67" t="str">
        <x:v>別途再見積</x:v>
      </x:c>
      <x:c r="E28" s="67" t="str">
        <x:v>要求確定後に更新</x:v>
      </x:c>
    </x:row>
  </x:sheetData>
  <x:mergeCells>
    <x:mergeCell ref="A1:F1"/>
    <x:mergeCell ref="A3:F3"/>
    <x:mergeCell ref="A13:F13"/>
    <x:mergeCell ref="A22:F22"/>
  </x:mergeCells>
  <x:pageMargins left="0.7" right="0.7" top="0.75" bottom="0.75" header="0.3" footer="0.3"/>
</x:worksheet>
</file>