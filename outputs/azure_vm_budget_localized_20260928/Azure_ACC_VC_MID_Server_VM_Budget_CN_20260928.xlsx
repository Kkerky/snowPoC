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80e1004e0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d86944c6a44438"/>
    <x:sheet xmlns:r="http://schemas.openxmlformats.org/officeDocument/2006/relationships" name="Inputs" sheetId="2" r:id="R88c65ebaf5b04682"/>
    <x:sheet xmlns:r="http://schemas.openxmlformats.org/officeDocument/2006/relationships" name="Sources" sheetId="3" r:id="R0ba34f9e1f78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#,##0.0"/>
    <x:numFmt numFmtId="203" formatCode="#,##0.0000"/>
  </x:numFmts>
  <x:fonts count="6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</x:border>
    <x:border>
      <x:right style="thin">
        <x:color rgb="FFD9E1F2"/>
      </x:right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5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0" fontId="5" fillId="3" borderId="2" xfId="0" applyNumberFormat="1" applyFont="1" applyFill="1" applyBorder="1" applyAlignment="1">
      <x:alignment horizontal="right" vertical="center"/>
    </x:xf>
    <x:xf numFmtId="201" fontId="5" fillId="3" borderId="2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3" fontId="1" fillId="0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201" fontId="5" fillId="3" borderId="2" xfId="0" applyNumberFormat="1" applyFont="1" applyFill="1" applyBorder="1" applyAlignment="1">
      <x:alignment horizontal="right"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fc444f98743ee" /><Relationship Type="http://schemas.openxmlformats.org/officeDocument/2006/relationships/theme" Target="/xl/theme/theme1.xml" Id="R5533795860bc42a2" /><Relationship Type="http://schemas.openxmlformats.org/officeDocument/2006/relationships/sharedStrings" Target="/xl/sharedStrings.xml" Id="Rcb2a04a89ec446d7" /><Relationship Type="http://schemas.openxmlformats.org/officeDocument/2006/relationships/worksheet" Target="/xl/worksheets/sheet1.xml" Id="R36d86944c6a44438" /><Relationship Type="http://schemas.openxmlformats.org/officeDocument/2006/relationships/worksheet" Target="/xl/worksheets/sheet2.xml" Id="R88c65ebaf5b04682" /><Relationship Type="http://schemas.openxmlformats.org/officeDocument/2006/relationships/worksheet" Target="/xl/worksheets/sheet3.xml" Id="R0ba34f9e1f78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20.5" hidden="0" customWidth="1"/>
  </x:cols>
  <x:sheetData>
    <x:row r="1" ht="24" customHeight="1">
      <x:c r="A1" s="61" t="str">
        <x:v>Azure VM 预算估算 - ACC-VC MID Server</x:v>
      </x:c>
      <x:c r="B1" s="61"/>
      <x:c r="C1" s="61"/>
      <x:c r="D1" s="61"/>
      <x:c r="E1" s="61"/>
      <x:c r="F1" s="61"/>
      <x:c r="G1" s="61"/>
      <x:c r="H1" s="61"/>
      <x:c r="I1" s="2"/>
      <x:c r="J1" s="2"/>
    </x:row>
    <x:row r="2">
      <x:c r="A2" s="52" t="str">
        <x:v>日本东部 | Windows Server | Standard_E16s_v5 | Azure 官方 Retail Prices API</x:v>
      </x:c>
      <x:c r="B2" s="52"/>
      <x:c r="C2" s="52"/>
      <x:c r="D2" s="52"/>
      <x:c r="E2" s="52"/>
      <x:c r="F2" s="52"/>
      <x:c r="G2" s="52"/>
      <x:c r="H2" s="52"/>
      <x:c r="I2" s="2"/>
      <x:c r="J2" s="2"/>
    </x:row>
    <x:row r="3">
      <x:c r="A3" s="47"/>
      <x:c r="B3" s="47"/>
      <x:c r="C3" s="47"/>
      <x:c r="D3" s="47"/>
      <x:c r="E3" s="47"/>
      <x:c r="F3" s="47"/>
      <x:c r="G3" s="47"/>
      <x:c r="H3" s="47"/>
      <x:c r="I3" s="2"/>
      <x:c r="J3" s="2"/>
    </x:row>
    <x:row r="4" ht="30" customHeight="1">
      <x:c r="A4" s="9" t="str">
        <x:v>项目</x:v>
      </x:c>
      <x:c r="B4" s="9" t="str">
        <x:v>VM 台数</x:v>
      </x:c>
      <x:c r="C4" s="9" t="str">
        <x:v>每小时 JPY</x:v>
      </x:c>
      <x:c r="D4" s="9" t="str">
        <x:v>每月 JPY</x:v>
      </x:c>
      <x:c r="E4" s="9" t="str">
        <x:v>每年 JPY</x:v>
      </x:c>
      <x:c r="F4" s="9" t="str">
        <x:v>每小时 USD</x:v>
      </x:c>
      <x:c r="G4" s="9" t="str">
        <x:v>每月 USD</x:v>
      </x:c>
      <x:c r="H4" s="9" t="str">
        <x:v>每年 USD</x:v>
      </x:c>
      <x:c r="I4" s="2"/>
      <x:c r="J4" s="2"/>
    </x:row>
    <x:row r="5">
      <x:c r="A5" s="62" t="str">
        <x:v>单台 VM</x:v>
      </x:c>
      <x:c r="B5" s="63" t="n">
        <x:f>1</x:f>
        <x:v>1</x:v>
      </x:c>
      <x:c r="C5" s="64" t="n">
        <x:f>B5*Inputs!$B$17</x:f>
        <x:v>310.9926</x:v>
      </x:c>
      <x:c r="D5" s="64" t="n">
        <x:f>C5*Inputs!$B$16</x:f>
        <x:v>227024.598</x:v>
      </x:c>
      <x:c r="E5" s="64" t="n">
        <x:f>D5*12</x:f>
        <x:v>2724295.176</x:v>
      </x:c>
      <x:c r="F5" s="64" t="n">
        <x:f>B5*Inputs!$B$18</x:f>
        <x:v>1.952</x:v>
      </x:c>
      <x:c r="G5" s="64" t="n">
        <x:f>F5*Inputs!$B$16</x:f>
        <x:v>1424.96</x:v>
      </x:c>
      <x:c r="H5" s="64" t="n">
        <x:f>G5*12</x:f>
        <x:v>17099.52</x:v>
      </x:c>
      <x:c r="I5" s="2"/>
      <x:c r="J5" s="2"/>
    </x:row>
    <x:row r="6">
      <x:c r="A6" s="62" t="str">
        <x:v>4 台承载用 MID Server</x:v>
      </x:c>
      <x:c r="B6" s="63" t="n">
        <x:f>Inputs!$B$9</x:f>
        <x:v>4</x:v>
      </x:c>
      <x:c r="C6" s="64" t="n">
        <x:f>B6*Inputs!$B$17</x:f>
        <x:v>1243.9704</x:v>
      </x:c>
      <x:c r="D6" s="64" t="n">
        <x:f>C6*Inputs!$B$16</x:f>
        <x:v>908098.392</x:v>
      </x:c>
      <x:c r="E6" s="64" t="n">
        <x:f>D6*12</x:f>
        <x:v>10897180.704</x:v>
      </x:c>
      <x:c r="F6" s="64" t="n">
        <x:f>B6*Inputs!$B$18</x:f>
        <x:v>7.808</x:v>
      </x:c>
      <x:c r="G6" s="64" t="n">
        <x:f>F6*Inputs!$B$16</x:f>
        <x:v>5699.84</x:v>
      </x:c>
      <x:c r="H6" s="64" t="n">
        <x:f>G6*12</x:f>
        <x:v>68398.08</x:v>
      </x:c>
      <x:c r="I6" s="2"/>
      <x:c r="J6" s="2"/>
    </x:row>
    <x:row r="7">
      <x:c r="A7" s="62" t="str">
        <x:v>2 台冗余用 MID Server</x:v>
      </x:c>
      <x:c r="B7" s="63" t="n">
        <x:f>Inputs!$B$10</x:f>
        <x:v>2</x:v>
      </x:c>
      <x:c r="C7" s="64" t="n">
        <x:f>B7*Inputs!$B$17</x:f>
        <x:v>621.9852</x:v>
      </x:c>
      <x:c r="D7" s="64" t="n">
        <x:f>C7*Inputs!$B$16</x:f>
        <x:v>454049.196</x:v>
      </x:c>
      <x:c r="E7" s="64" t="n">
        <x:f>D7*12</x:f>
        <x:v>5448590.352</x:v>
      </x:c>
      <x:c r="F7" s="64" t="n">
        <x:f>B7*Inputs!$B$18</x:f>
        <x:v>3.904</x:v>
      </x:c>
      <x:c r="G7" s="64" t="n">
        <x:f>F7*Inputs!$B$16</x:f>
        <x:v>2849.92</x:v>
      </x:c>
      <x:c r="H7" s="64" t="n">
        <x:f>G7*12</x:f>
        <x:v>34199.04</x:v>
      </x:c>
      <x:c r="I7" s="2"/>
      <x:c r="J7" s="2"/>
    </x:row>
    <x:row r="8">
      <x:c r="A8" s="65" t="str">
        <x:v>共 6 台 MID Server</x:v>
      </x:c>
      <x:c r="B8" s="66" t="n">
        <x:f>Inputs!$B$11</x:f>
        <x:v>6</x:v>
      </x:c>
      <x:c r="C8" s="67" t="n">
        <x:f>B8*Inputs!$B$17</x:f>
        <x:v>1865.9555999999998</x:v>
      </x:c>
      <x:c r="D8" s="67" t="n">
        <x:f>C8*Inputs!$B$16</x:f>
        <x:v>1362147.5879999998</x:v>
      </x:c>
      <x:c r="E8" s="67" t="n">
        <x:f>D8*12</x:f>
        <x:v>16345771.055999998</x:v>
      </x:c>
      <x:c r="F8" s="67" t="n">
        <x:f>B8*Inputs!$B$18</x:f>
        <x:v>11.712</x:v>
      </x:c>
      <x:c r="G8" s="67" t="n">
        <x:f>F8*Inputs!$B$16</x:f>
        <x:v>8549.76</x:v>
      </x:c>
      <x:c r="H8" s="67" t="n">
        <x:f>G8*12</x:f>
        <x:v>102597.12</x:v>
      </x:c>
      <x:c r="I8" s="2"/>
      <x:c r="J8" s="2"/>
    </x:row>
    <x:row r="9">
      <x:c r="A9" s="47"/>
      <x:c r="B9" s="47"/>
      <x:c r="C9" s="47"/>
      <x:c r="D9" s="47"/>
      <x:c r="E9" s="47"/>
      <x:c r="F9" s="47"/>
      <x:c r="G9" s="47"/>
      <x:c r="H9" s="47"/>
      <x:c r="I9" s="2"/>
      <x:c r="J9" s="2"/>
    </x:row>
    <x:row r="10">
      <x:c r="A10" s="68" t="str">
        <x:v>预算结论</x:v>
      </x:c>
      <x:c r="B10" s="69"/>
      <x:c r="C10" s="69"/>
      <x:c r="D10" s="69"/>
      <x:c r="E10" s="69"/>
      <x:c r="F10" s="69"/>
      <x:c r="G10" s="69"/>
      <x:c r="H10" s="70"/>
      <x:c r="I10" s="2"/>
      <x:c r="J10" s="2"/>
    </x:row>
    <x:row r="11" ht="30" customHeight="1">
      <x:c r="A11" s="38" t="str">
        <x:v>6 台 Windows VM 的计算资源费用约为每月 1,362,148 日元、每年 16,345,771 日元。其中 4 台承载业务负荷，另外 2 台按 N+2 冗余假设计入。</x:v>
      </x:c>
      <x:c r="B11" s="39"/>
      <x:c r="C11" s="39"/>
      <x:c r="D11" s="39"/>
      <x:c r="E11" s="39"/>
      <x:c r="F11" s="39"/>
      <x:c r="G11" s="39"/>
      <x:c r="H11" s="40"/>
      <x:c r="I11" s="2"/>
      <x:c r="J11" s="2"/>
    </x:row>
    <x:row r="12" ht="30" customHeight="1">
      <x:c r="A12" s="41"/>
      <x:c r="B12" s="42"/>
      <x:c r="C12" s="42"/>
      <x:c r="D12" s="42"/>
      <x:c r="E12" s="42"/>
      <x:c r="F12" s="42"/>
      <x:c r="G12" s="42"/>
      <x:c r="H12" s="43"/>
      <x:c r="I12" s="2"/>
      <x:c r="J12" s="2"/>
    </x:row>
    <x:row r="13" ht="30" customHeight="1">
      <x:c r="A13" s="47"/>
      <x:c r="B13" s="47"/>
      <x:c r="C13" s="47"/>
      <x:c r="D13" s="47"/>
      <x:c r="E13" s="47"/>
      <x:c r="F13" s="47"/>
      <x:c r="G13" s="47"/>
      <x:c r="H13" s="47"/>
      <x:c r="I13" s="2"/>
      <x:c r="J13" s="2"/>
    </x:row>
    <x:row r="14" ht="30" customHeight="1">
      <x:c r="A14" s="68" t="str">
        <x:v>费用范围与未计入项目</x:v>
      </x:c>
      <x:c r="B14" s="69"/>
      <x:c r="C14" s="69"/>
      <x:c r="D14" s="69"/>
      <x:c r="E14" s="69"/>
      <x:c r="F14" s="69"/>
      <x:c r="G14" s="69"/>
      <x:c r="H14" s="70"/>
      <x:c r="I14" s="2"/>
      <x:c r="J14" s="2"/>
    </x:row>
    <x:row r="15" ht="30" customHeight="1">
      <x:c r="A15" s="38" t="str">
        <x:v>本估算仅包含 VM 计算资源费用。由于原配置表未指定，托管磁盘、Azure Load Balancer、公网 IP、出站流量、Backup、Azure Monitor / Log Analytics 和税费均未计入。也未套用预留实例、Savings Plan 或 Azure Hybrid Benefit 折扣。补充相关项目后，实际 Azure 总费用通常高于本表金额。</x:v>
      </x:c>
      <x:c r="B15" s="39"/>
      <x:c r="C15" s="39"/>
      <x:c r="D15" s="39"/>
      <x:c r="E15" s="39"/>
      <x:c r="F15" s="39"/>
      <x:c r="G15" s="39"/>
      <x:c r="H15" s="40"/>
      <x:c r="I15" s="2"/>
      <x:c r="J15" s="2"/>
    </x:row>
    <x:row r="16" ht="30" customHeight="1">
      <x:c r="A16" s="49"/>
      <x:c r="B16" s="50"/>
      <x:c r="C16" s="50"/>
      <x:c r="D16" s="50"/>
      <x:c r="E16" s="50"/>
      <x:c r="F16" s="50"/>
      <x:c r="G16" s="50"/>
      <x:c r="H16" s="51"/>
      <x:c r="I16" s="2"/>
      <x:c r="J16" s="2"/>
    </x:row>
    <x:row r="17" ht="30" customHeight="1">
      <x:c r="A17" s="41"/>
      <x:c r="B17" s="42"/>
      <x:c r="C17" s="42"/>
      <x:c r="D17" s="42"/>
      <x:c r="E17" s="42"/>
      <x:c r="F17" s="42"/>
      <x:c r="G17" s="42"/>
      <x:c r="H17" s="43"/>
      <x:c r="I17" s="2"/>
      <x:c r="J17" s="2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2"/>
      <x:c r="J18" s="2"/>
    </x:row>
    <x:row r="19" ht="43" customHeight="1">
      <x:c r="A19" s="52" t="str">
        <x:v>注意：Standard_E16s_v5 是按 16 vCPU / 128 GiB 条件选取的预算候选型号；原配置表未指定 Azure SKU，也不能把此选择表述为 ServiceNow 官方硬件推荐。</x:v>
      </x:c>
      <x:c r="B19" s="52"/>
      <x:c r="C19" s="52"/>
      <x:c r="D19" s="52"/>
      <x:c r="E19" s="52"/>
      <x:c r="F19" s="52"/>
      <x:c r="G19" s="52"/>
      <x:c r="H19" s="52"/>
      <x:c r="I19" s="2"/>
      <x:c r="J19" s="2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H1"/>
    <x:mergeCell ref="A2:H2"/>
    <x:mergeCell ref="A10:H10"/>
    <x:mergeCell ref="A11:H12"/>
    <x:mergeCell ref="A14:H14"/>
    <x:mergeCell ref="A15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8" hidden="0" customWidth="1"/>
  </x:cols>
  <x:sheetData>
    <x:row r="1">
      <x:c r="A1" s="3" t="str">
        <x:v>输入条件与预算假设</x:v>
      </x:c>
      <x:c r="B1" s="3"/>
      <x:c r="C1" s="3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3" t="str">
        <x:v>参数</x:v>
      </x:c>
      <x:c r="B3" s="53" t="str">
        <x:v>数值</x:v>
      </x:c>
      <x:c r="C3" s="53" t="str">
        <x:v>单位 / 说明</x:v>
      </x:c>
      <x:c r="D3" s="2"/>
      <x:c r="E3" s="2"/>
      <x:c r="F3" s="2"/>
      <x:c r="G3" s="2"/>
      <x:c r="H3" s="2"/>
      <x:c r="I3" s="2"/>
      <x:c r="J3" s="2"/>
    </x:row>
    <x:row r="4">
      <x:c r="A4" s="10" t="str">
        <x:v>目标 ACC-VC Agent 数量</x:v>
      </x:c>
      <x:c r="B4" s="17" t="n">
        <x:v>300000</x:v>
      </x:c>
      <x:c r="C4" s="10" t="str">
        <x:v>Agent；来自原配置表</x:v>
      </x:c>
      <x:c r="D4" s="2"/>
      <x:c r="E4" s="2"/>
      <x:c r="F4" s="2"/>
      <x:c r="G4" s="2"/>
      <x:c r="H4" s="2"/>
      <x:c r="I4" s="2"/>
      <x:c r="J4" s="2"/>
    </x:row>
    <x:row r="5">
      <x:c r="A5" s="10" t="str">
        <x:v>每台 MID 的物理内存</x:v>
      </x:c>
      <x:c r="B5" s="56" t="n">
        <x:v>128</x:v>
      </x:c>
      <x:c r="C5" s="10" t="str">
        <x:v>GiB；原表标注 128 GB</x:v>
      </x:c>
      <x:c r="D5" s="2"/>
      <x:c r="E5" s="2"/>
      <x:c r="F5" s="2"/>
      <x:c r="G5" s="2"/>
      <x:c r="H5" s="2"/>
      <x:c r="I5" s="2"/>
      <x:c r="J5" s="2"/>
    </x:row>
    <x:row r="6">
      <x:c r="A6" s="10" t="str">
        <x:v>每台 MID 的 CPU</x:v>
      </x:c>
      <x:c r="B6" s="56" t="n">
        <x:v>16</x:v>
      </x:c>
      <x:c r="C6" s="10" t="str">
        <x:v>vCPU；来自原配置表</x:v>
      </x:c>
      <x:c r="D6" s="2"/>
      <x:c r="E6" s="2"/>
      <x:c r="F6" s="2"/>
      <x:c r="G6" s="2"/>
      <x:c r="H6" s="2"/>
      <x:c r="I6" s="2"/>
      <x:c r="J6" s="2"/>
    </x:row>
    <x:row r="7">
      <x:c r="A7" s="10" t="str">
        <x:v>每台 MID 的 JVM Heap</x:v>
      </x:c>
      <x:c r="B7" s="56" t="n">
        <x:v>90</x:v>
      </x:c>
      <x:c r="C7" s="10" t="str">
        <x:v>GiB；来自原配置表</x:v>
      </x:c>
      <x:c r="D7" s="2"/>
      <x:c r="E7" s="2"/>
      <x:c r="F7" s="2"/>
      <x:c r="G7" s="2"/>
      <x:c r="H7" s="2"/>
      <x:c r="I7" s="2"/>
      <x:c r="J7" s="2"/>
    </x:row>
    <x:row r="8">
      <x:c r="A8" s="10" t="str">
        <x:v>每台 MID 的规划容量</x:v>
      </x:c>
      <x:c r="B8" s="17" t="n">
        <x:v>90000</x:v>
      </x:c>
      <x:c r="C8" s="10" t="str">
        <x:v>Agent；来自原配置表</x:v>
      </x:c>
      <x:c r="D8" s="2"/>
      <x:c r="E8" s="2"/>
      <x:c r="F8" s="2"/>
      <x:c r="G8" s="2"/>
      <x:c r="H8" s="2"/>
      <x:c r="I8" s="2"/>
      <x:c r="J8" s="2"/>
    </x:row>
    <x:row r="9">
      <x:c r="A9" s="10" t="str">
        <x:v>承载用 MID Server</x:v>
      </x:c>
      <x:c r="B9" s="17" t="n">
        <x:v>4</x:v>
      </x:c>
      <x:c r="C9" s="10" t="str">
        <x:v>台；来自原配置表</x:v>
      </x:c>
      <x:c r="D9" s="2"/>
      <x:c r="E9" s="2"/>
      <x:c r="F9" s="2"/>
      <x:c r="G9" s="2"/>
      <x:c r="H9" s="2"/>
      <x:c r="I9" s="2"/>
      <x:c r="J9" s="2"/>
    </x:row>
    <x:row r="10">
      <x:c r="A10" s="10" t="str">
        <x:v>追加冗余 MID Server</x:v>
      </x:c>
      <x:c r="B10" s="17" t="n">
        <x:v>2</x:v>
      </x:c>
      <x:c r="C10" s="10" t="str">
        <x:v>台；原表为 N+2</x:v>
      </x:c>
      <x:c r="D10" s="2"/>
      <x:c r="E10" s="2"/>
      <x:c r="F10" s="2"/>
      <x:c r="G10" s="2"/>
      <x:c r="H10" s="2"/>
      <x:c r="I10" s="2"/>
      <x:c r="J10" s="2"/>
    </x:row>
    <x:row r="11">
      <x:c r="A11" s="12" t="str">
        <x:v>MID Server 总数</x:v>
      </x:c>
      <x:c r="B11" s="19" t="n">
        <x:f>B9+B10</x:f>
        <x:v>6</x:v>
      </x:c>
      <x:c r="C11" s="12" t="str">
        <x:v>台；承载加冗余</x:v>
      </x:c>
      <x:c r="D11" s="2"/>
      <x:c r="E11" s="2"/>
      <x:c r="F11" s="2"/>
      <x:c r="G11" s="2"/>
      <x:c r="H11" s="2"/>
      <x:c r="I11" s="2"/>
      <x:c r="J11" s="2"/>
    </x:row>
    <x:row r="12">
      <x:c r="A12" s="10" t="str">
        <x:v>Azure 区域</x:v>
      </x:c>
      <x:c r="B12" s="57" t="str">
        <x:v>日本东部</x:v>
      </x:c>
      <x:c r="C12" s="10" t="str">
        <x:v>单一区域</x:v>
      </x:c>
      <x:c r="D12" s="2"/>
      <x:c r="E12" s="2"/>
      <x:c r="F12" s="2"/>
      <x:c r="G12" s="2"/>
      <x:c r="H12" s="2"/>
      <x:c r="I12" s="2"/>
      <x:c r="J12" s="2"/>
    </x:row>
    <x:row r="13">
      <x:c r="A13" s="10" t="str">
        <x:v>操作系统</x:v>
      </x:c>
      <x:c r="B13" s="57" t="str">
        <x:v>Windows Server</x:v>
      </x:c>
      <x:c r="C13" s="10" t="str">
        <x:v>Windows 按量付费</x:v>
      </x:c>
      <x:c r="D13" s="2"/>
      <x:c r="E13" s="2"/>
      <x:c r="F13" s="2"/>
      <x:c r="G13" s="2"/>
      <x:c r="H13" s="2"/>
      <x:c r="I13" s="2"/>
      <x:c r="J13" s="2"/>
    </x:row>
    <x:row r="14">
      <x:c r="A14" s="10" t="str">
        <x:v>候选 VM 型号</x:v>
      </x:c>
      <x:c r="B14" s="57" t="str">
        <x:v>Standard_E16s_v5</x:v>
      </x:c>
      <x:c r="C14" s="10" t="str">
        <x:v>16 vCPU / 128 GiB；预算假设</x:v>
      </x:c>
      <x:c r="D14" s="2"/>
      <x:c r="E14" s="2"/>
      <x:c r="F14" s="2"/>
      <x:c r="G14" s="2"/>
      <x:c r="H14" s="2"/>
      <x:c r="I14" s="2"/>
      <x:c r="J14" s="2"/>
    </x:row>
    <x:row r="15">
      <x:c r="A15" s="10" t="str">
        <x:v>价格类型</x:v>
      </x:c>
      <x:c r="B15" s="57" t="str">
        <x:v>按量付费 Consumption</x:v>
      </x:c>
      <x:c r="C15" s="10" t="str">
        <x:v>非 Spot、非 Low Priority</x:v>
      </x:c>
      <x:c r="D15" s="2"/>
      <x:c r="E15" s="2"/>
      <x:c r="F15" s="2"/>
      <x:c r="G15" s="2"/>
      <x:c r="H15" s="2"/>
      <x:c r="I15" s="2"/>
      <x:c r="J15" s="2"/>
    </x:row>
    <x:row r="16">
      <x:c r="A16" s="10" t="str">
        <x:v>每月运行小时数</x:v>
      </x:c>
      <x:c r="B16" s="57" t="n">
        <x:v>730</x:v>
      </x:c>
      <x:c r="C16" s="10" t="str">
        <x:v>预算假设</x:v>
      </x:c>
      <x:c r="D16" s="2"/>
      <x:c r="E16" s="2"/>
      <x:c r="F16" s="2"/>
      <x:c r="G16" s="2"/>
      <x:c r="H16" s="2"/>
      <x:c r="I16" s="2"/>
      <x:c r="J16" s="2"/>
    </x:row>
    <x:row r="17">
      <x:c r="A17" s="10" t="str">
        <x:v>每小时单价</x:v>
      </x:c>
      <x:c r="B17" s="58" t="n">
        <x:v>310.9926</x:v>
      </x:c>
      <x:c r="C17" s="10" t="str">
        <x:v>JPY/小时；Azure 官方 API</x:v>
      </x:c>
      <x:c r="D17" s="2"/>
      <x:c r="E17" s="2"/>
      <x:c r="F17" s="2"/>
      <x:c r="G17" s="2"/>
      <x:c r="H17" s="2"/>
      <x:c r="I17" s="2"/>
      <x:c r="J17" s="2"/>
    </x:row>
    <x:row r="18">
      <x:c r="A18" s="10" t="str">
        <x:v>每小时单价</x:v>
      </x:c>
      <x:c r="B18" s="58" t="n">
        <x:v>1.952</x:v>
      </x:c>
      <x:c r="C18" s="10" t="str">
        <x:v>USD/小时；Azure 官方 API</x:v>
      </x:c>
      <x:c r="D18" s="2"/>
      <x:c r="E18" s="2"/>
      <x:c r="F18" s="2"/>
      <x:c r="G18" s="2"/>
      <x:c r="H18" s="2"/>
      <x:c r="I18" s="2"/>
      <x:c r="J18" s="2"/>
    </x:row>
    <x:row r="19">
      <x:c r="A19" s="10" t="str">
        <x:v>价格查询日期</x:v>
      </x:c>
      <x:c r="B19" s="57" t="str">
        <x:v>2026-09-28</x:v>
      </x:c>
      <x:c r="C19" s="10" t="str">
        <x:v>价格可能变化</x:v>
      </x:c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76" hidden="0" customWidth="1"/>
    <x:col min="3" max="3" width="62" hidden="0" customWidth="1"/>
  </x:cols>
  <x:sheetData>
    <x:row r="1">
      <x:c r="A1" s="3" t="str">
        <x:v>官方资料与复算方法</x:v>
      </x:c>
      <x:c r="B1" s="3"/>
      <x:c r="C1" s="3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3" t="str">
        <x:v>资料</x:v>
      </x:c>
      <x:c r="B3" s="53" t="str">
        <x:v>链接或查询条件</x:v>
      </x:c>
      <x:c r="C3" s="53" t="str">
        <x:v>本表使用位置</x:v>
      </x:c>
      <x:c r="D3" s="2"/>
      <x:c r="E3" s="2"/>
      <x:c r="F3" s="2"/>
      <x:c r="G3" s="2"/>
      <x:c r="H3" s="2"/>
      <x:c r="I3" s="2"/>
      <x:c r="J3" s="2"/>
    </x:row>
    <x:row r="4" ht="32" customHeight="1">
      <x:c r="A4" s="72" t="str">
        <x:v>Azure 价格计算器</x:v>
      </x:c>
      <x:c r="B4" s="72" t="str">
        <x:v>https://azure.microsoft.com/pricing/calculator/</x:v>
      </x:c>
      <x:c r="C4" s="72" t="str">
        <x:v>复算设置：Virtual Machines、日本东部、Windows、Standard_E16s_v5、每月 730 小时、数量 6。</x:v>
      </x:c>
      <x:c r="D4" s="2"/>
      <x:c r="E4" s="2"/>
      <x:c r="F4" s="2"/>
      <x:c r="G4" s="2"/>
      <x:c r="H4" s="2"/>
      <x:c r="I4" s="2"/>
      <x:c r="J4" s="2"/>
    </x:row>
    <x:row r="5" ht="32" customHeight="1">
      <x:c r="A5" s="72" t="str">
        <x:v>Azure Retail Prices API</x:v>
      </x:c>
      <x:c r="B5" s="72" t="str">
        <x:v>https://prices.azure.com/api/retail/prices</x:v>
      </x:c>
      <x:c r="C5" s="72" t="str">
        <x:v>本表日元和美元每小时零售价的数据源。</x:v>
      </x:c>
      <x:c r="D5" s="2"/>
      <x:c r="E5" s="2"/>
      <x:c r="F5" s="2"/>
      <x:c r="G5" s="2"/>
      <x:c r="H5" s="2"/>
      <x:c r="I5" s="2"/>
      <x:c r="J5" s="2"/>
    </x:row>
    <x:row r="6" ht="32" customHeight="1">
      <x:c r="A6" s="72" t="str">
        <x:v>Azure Windows VM 价格</x:v>
      </x:c>
      <x:c r="B6" s="72" t="str">
        <x:v>https://azure.microsoft.com/pricing/details/virtual-machines/windows/</x:v>
      </x:c>
      <x:c r="C6" s="72" t="str">
        <x:v>Windows VM 的定价范围及计费模式说明。</x:v>
      </x:c>
      <x:c r="D6" s="2"/>
      <x:c r="E6" s="2"/>
      <x:c r="F6" s="2"/>
      <x:c r="G6" s="2"/>
      <x:c r="H6" s="2"/>
      <x:c r="I6" s="2"/>
      <x:c r="J6" s="2"/>
    </x:row>
    <x:row r="7" ht="32" customHeight="1">
      <x:c r="A7" s="72" t="str">
        <x:v>Azure Esv5 系列规格</x:v>
      </x:c>
      <x:c r="B7" s="72" t="str">
        <x:v>https://learn.microsoft.com/azure/virtual-machines/sizes/memory-optimized/esv5-series</x:v>
      </x:c>
      <x:c r="C7" s="72" t="str">
        <x:v>确认 Standard_E16s_v5 为 16 vCPU、128 GiB 内存。</x:v>
      </x:c>
      <x:c r="D7" s="2"/>
      <x:c r="E7" s="2"/>
      <x:c r="F7" s="2"/>
      <x:c r="G7" s="2"/>
      <x:c r="H7" s="2"/>
      <x:c r="I7" s="2"/>
      <x:c r="J7" s="2"/>
    </x:row>
    <x:row r="8" ht="32" customHeight="1">
      <x:c r="A8" s="50"/>
      <x:c r="B8" s="50"/>
      <x:c r="C8" s="50"/>
      <x:c r="D8" s="2"/>
      <x:c r="E8" s="2"/>
      <x:c r="F8" s="2"/>
      <x:c r="G8" s="2"/>
      <x:c r="H8" s="2"/>
      <x:c r="I8" s="2"/>
      <x:c r="J8" s="2"/>
    </x:row>
    <x:row r="9" ht="32" customHeight="1">
      <x:c r="A9" s="73" t="str">
        <x:v>API 筛选条件</x:v>
      </x:c>
      <x:c r="B9" s="73" t="str">
        <x:v>serviceName eq 'Virtual Machines' and armRegionName eq 'japaneast' and skuName eq 'E16s v5'</x:v>
      </x:c>
      <x:c r="C9" s="73" t="str">
        <x:v>用于筛选区域及型号。</x:v>
      </x:c>
      <x:c r="D9" s="2"/>
      <x:c r="E9" s="2"/>
      <x:c r="F9" s="2"/>
      <x:c r="G9" s="2"/>
      <x:c r="H9" s="2"/>
      <x:c r="I9" s="2"/>
      <x:c r="J9" s="2"/>
    </x:row>
    <x:row r="10" ht="32" customHeight="1">
      <x:c r="A10" s="72" t="str">
        <x:v>Windows 价格记录</x:v>
      </x:c>
      <x:c r="B10" s="72" t="str">
        <x:v>Virtual Machines Esv5 Series Windows / Standard_E16s_v5 / Consumption</x:v>
      </x:c>
      <x:c r="C10" s="72" t="str">
        <x:v>310.9926 JPY/小时，1.952 USD/小时。</x:v>
      </x:c>
      <x:c r="D10" s="2"/>
      <x:c r="E10" s="2"/>
      <x:c r="F10" s="2"/>
      <x:c r="G10" s="2"/>
      <x:c r="H10" s="2"/>
      <x:c r="I10" s="2"/>
      <x:c r="J10" s="2"/>
    </x:row>
    <x:row r="11" ht="32" customHeight="1">
      <x:c r="A11" s="72" t="str">
        <x:v>计费时间假设</x:v>
      </x:c>
      <x:c r="B11" s="72" t="str">
        <x:v>每月 730 小时</x:v>
      </x:c>
      <x:c r="C11" s="72" t="str">
        <x:v>用于月费和年费计算。</x:v>
      </x:c>
      <x:c r="D11" s="2"/>
      <x:c r="E11" s="2"/>
      <x:c r="F11" s="2"/>
      <x:c r="G11" s="2"/>
      <x:c r="H11" s="2"/>
      <x:c r="I11" s="2"/>
      <x:c r="J11" s="2"/>
    </x:row>
    <x:row r="12" ht="42" customHeight="1">
      <x:c r="A12" s="72" t="str">
        <x:v>费用范围</x:v>
      </x:c>
      <x:c r="B12" s="72" t="str">
        <x:v>仅 VM 计算资源</x:v>
      </x:c>
      <x:c r="C12" s="72" t="str">
        <x:v>仅 VM 计算资源；不含磁盘、网络、LB、监控、备份、税费及折扣。</x:v>
      </x:c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C1"/>
  </x:mergeCells>
  <x:pageMargins left="0.7" right="0.7" top="0.75" bottom="0.75" header="0.3" footer="0.3"/>
</x:worksheet>
</file>