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e41c0c313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体" sheetId="1" r:id="R810301238d154645"/>
    <x:sheet xmlns:r="http://schemas.openxmlformats.org/officeDocument/2006/relationships" name="目次" sheetId="2" r:id="Rfadc479134da4c89"/>
    <x:sheet xmlns:r="http://schemas.openxmlformats.org/officeDocument/2006/relationships" name="01" sheetId="3" r:id="Rcc3e6b36764a4cda"/>
    <x:sheet xmlns:r="http://schemas.openxmlformats.org/officeDocument/2006/relationships" name="トラブル対応" sheetId="4" r:id="Ra85b8c71ab594fa2"/>
    <x:sheet xmlns:r="http://schemas.openxmlformats.org/officeDocument/2006/relationships" name="参考資料" sheetId="5" r:id="R04b12b2cae0f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件&quot;"/>
  </x:numFmts>
  <x:fonts count="6">
    <x:font>
      <x:sz val="11"/>
      <x:name val="Carlito"/>
    </x:font>
    <x:font>
      <x:b/>
      <x:sz val="16"/>
      <x:color rgb="FFFFFFFF"/>
      <x:name val="Yu Gothic"/>
    </x:font>
    <x:font>
      <x:i/>
      <x:sz val="10"/>
      <x:color rgb="FF666666"/>
      <x:name val="Yu Gothic"/>
    </x:font>
    <x:font>
      <x:b/>
      <x:sz val="11"/>
      <x:color rgb="FFFFFFFF"/>
      <x:name val="Yu Gothic"/>
    </x:font>
    <x:font>
      <x:b/>
      <x:sz val="10"/>
      <x:color rgb="FF262626"/>
      <x:name val="Yu Gothic"/>
    </x:font>
    <x:font>
      <x:sz val="10"/>
      <x:color rgb="FF262626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595959"/>
      </x:patternFill>
    </x:fill>
    <x:fill>
      <x:patternFill patternType="solid">
        <x:fgColor rgb="FFF2F2F2"/>
      </x:patternFill>
    </x:fill>
    <x:fill>
      <x:patternFill patternType="solid">
        <x:fgColor rgb="FF7F7F7F"/>
      </x:patternFill>
    </x:fill>
    <x:fill>
      <x:patternFill patternType="solid">
        <x:fgColor rgb="FFD9D9D9"/>
      </x:patternFill>
    </x:fill>
    <x:fill>
      <x:patternFill patternType="solid">
        <x:fgColor rgb="FFFAFAFA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dashed">
        <x:color rgb="FFBFBFBF"/>
      </x:left>
      <x:right style="dashed">
        <x:color rgb="FFBFBFBF"/>
      </x:right>
      <x:top style="dashed">
        <x:color rgb="FFBFBFBF"/>
      </x:top>
      <x:bottom style="dashed">
        <x:color rgb="FFBFBFB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horizontal="center" vertical="top" wrapText="1"/>
    </x:xf>
    <x:xf numFmtId="0" fontId="2" fillId="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798f35c4c47aa" /><Relationship Type="http://schemas.openxmlformats.org/officeDocument/2006/relationships/theme" Target="/xl/theme/theme1.xml" Id="Rbe1f1b7fe4934af7" /><Relationship Type="http://schemas.openxmlformats.org/officeDocument/2006/relationships/sharedStrings" Target="/xl/sharedStrings.xml" Id="R8629abb42cfd4914" /><Relationship Type="http://schemas.openxmlformats.org/officeDocument/2006/relationships/worksheet" Target="/xl/worksheets/sheet1.xml" Id="R810301238d154645" /><Relationship Type="http://schemas.openxmlformats.org/officeDocument/2006/relationships/worksheet" Target="/xl/worksheets/sheet2.xml" Id="Rfadc479134da4c89" /><Relationship Type="http://schemas.openxmlformats.org/officeDocument/2006/relationships/worksheet" Target="/xl/worksheets/sheet3.xml" Id="Rcc3e6b36764a4cda" /><Relationship Type="http://schemas.openxmlformats.org/officeDocument/2006/relationships/worksheet" Target="/xl/worksheets/sheet4.xml" Id="Ra85b8c71ab594fa2" /><Relationship Type="http://schemas.openxmlformats.org/officeDocument/2006/relationships/worksheet" Target="/xl/worksheets/sheet5.xml" Id="R04b12b2cae0f44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48.75" hidden="0" customWidth="1"/>
    <x:col min="3" max="3" width="32.5" hidden="0" customWidth="1"/>
    <x:col min="4" max="4" width="41.25" hidden="0" customWidth="1"/>
    <x:col min="5" max="5" width="3" hidden="0" customWidth="1"/>
    <x:col min="6" max="6" width="22.5" hidden="0" customWidth="1"/>
    <x:col min="7" max="7" width="11.25" hidden="0" customWidth="1"/>
    <x:col min="8" max="8" width="27.5" hidden="0" customWidth="1"/>
  </x:cols>
  <x:sheetData>
    <x:row r="1" ht="38" customHeight="1">
      <x:c r="A1" s="3" t="str">
        <x:v>GAM ITOM システム管理者向け手順書 | MID Server構築（Windows）</x:v>
      </x:c>
      <x:c r="B1" s="3"/>
      <x:c r="C1" s="3"/>
      <x:c r="D1" s="3"/>
      <x:c r="E1" s="3"/>
      <x:c r="F1" s="3"/>
      <x:c r="G1" s="3"/>
      <x:c r="H1" s="3"/>
    </x:row>
    <x:row r="2">
      <x:c r="A2" s="8" t="str">
        <x:v>企業環境の実画面を貼り付けて完成させるためのドラフト。パスワード、Cookie、一時URL、個人情報は記録しない。</x:v>
      </x:c>
      <x:c r="B2" s="8"/>
      <x:c r="C2" s="8"/>
      <x:c r="D2" s="8"/>
      <x:c r="E2" s="8"/>
      <x:c r="F2" s="8"/>
      <x:c r="G2" s="8"/>
      <x:c r="H2" s="8"/>
    </x:row>
    <x:row r="4">
      <x:c r="A4" s="11" t="str">
        <x:v>文書情報</x:v>
      </x:c>
      <x:c r="B4" s="11"/>
      <x:c r="C4" s="11"/>
      <x:c r="D4" s="11"/>
      <x:c r="E4" s="11"/>
      <x:c r="F4" s="11"/>
      <x:c r="G4" s="11"/>
      <x:c r="H4" s="11"/>
    </x:row>
    <x:row r="5" ht="34" customHeight="1">
      <x:c r="A5" s="17" t="str">
        <x:v>成果物名</x:v>
      </x:c>
      <x:c r="B5" s="21" t="str">
        <x:v>GAM_ITOM_システム管理者向け手順書.xlsx</x:v>
      </x:c>
    </x:row>
    <x:row r="6" ht="34" customHeight="1">
      <x:c r="A6" s="17" t="str">
        <x:v>対象手順</x:v>
      </x:c>
      <x:c r="B6" s="21" t="str">
        <x:v>MID Server構築手順書（Windows）</x:v>
      </x:c>
    </x:row>
    <x:row r="7" ht="34" customHeight="1">
      <x:c r="A7" s="17" t="str">
        <x:v>対象者</x:v>
      </x:c>
      <x:c r="B7" s="21" t="str">
        <x:v>初めてWindows MID Serverを構築するシステム管理者</x:v>
      </x:c>
    </x:row>
    <x:row r="8" ht="34" customHeight="1">
      <x:c r="A8" s="17" t="str">
        <x:v>対象Release</x:v>
      </x:c>
      <x:c r="B8" s="21" t="str">
        <x:v>ServiceNow Australia（実行前に現行画面を再確認）</x:v>
      </x:c>
    </x:row>
    <x:row r="9" ht="34" customHeight="1">
      <x:c r="A9" s="17" t="str">
        <x:v>文書状態</x:v>
      </x:c>
      <x:c r="B9" s="21" t="str">
        <x:v>ドラフト／企業環境スクリーンショット差し替え待ち</x:v>
      </x:c>
    </x:row>
    <x:row r="10" ht="34" customHeight="1">
      <x:c r="A10" s="17" t="str">
        <x:v>作成基準日</x:v>
      </x:c>
      <x:c r="B10" s="21" t="str">
        <x:v>2026-08-03</x:v>
      </x:c>
    </x:row>
    <x:row r="11" ht="34" customHeight="1">
      <x:c r="A11" s="17" t="str">
        <x:v>対象範囲</x:v>
      </x:c>
      <x:c r="B11" s="21" t="str">
        <x:v>Windows準備、MSI取得・確認、インストール、Windows Service起動、ログ・初期接続確認</x:v>
      </x:c>
    </x:row>
    <x:row r="12" ht="34" customHeight="1">
      <x:c r="A12" s="17" t="str">
        <x:v>別手順</x:v>
      </x:c>
      <x:c r="B12" s="21" t="str">
        <x:v>ServiceNow側の詳細Validate・Capability・IP RangeはMID Server登録手順書、更新はVUP手順書</x:v>
      </x:c>
    </x:row>
    <x:row r="14">
      <x:c r="A14" s="11" t="str">
        <x:v>作業時参照値（必要に応じて記入）</x:v>
      </x:c>
      <x:c r="B14" s="11"/>
      <x:c r="C14" s="11"/>
      <x:c r="D14" s="11"/>
      <x:c r="E14" s="11"/>
      <x:c r="F14" s="11" t="str">
        <x:v>進捗</x:v>
      </x:c>
      <x:c r="G14" s="11"/>
      <x:c r="H14" s="11"/>
    </x:row>
    <x:row r="15">
      <x:c r="A15" s="23" t="str">
        <x:v>No.</x:v>
      </x:c>
      <x:c r="B15" s="23" t="str">
        <x:v>入力項目</x:v>
      </x:c>
      <x:c r="C15" s="23" t="str">
        <x:v>実値／確認結果</x:v>
      </x:c>
      <x:c r="D15" s="23" t="str">
        <x:v>注意</x:v>
      </x:c>
      <x:c r="F15" s="23" t="str">
        <x:v>項目</x:v>
      </x:c>
      <x:c r="G15" s="23" t="str">
        <x:v>値</x:v>
      </x:c>
    </x:row>
    <x:row r="16" ht="42" customHeight="1">
      <x:c r="A16" s="24" t="n">
        <x:v>1</x:v>
      </x:c>
      <x:c r="B16" s="21" t="str">
        <x:v>ServiceNow Instance URL</x:v>
      </x:c>
      <x:c r="C16" s="25" t="str"/>
      <x:c r="D16" s="21" t="str">
        <x:v>企業Dev環境。PDIや別環境を入力しない</x:v>
      </x:c>
      <x:c r="F16" s="21" t="str">
        <x:v>全手順</x:v>
      </x:c>
      <x:c r="G16" s="26" t="n">
        <x:f>COUNT('01'!$A$5:$A$60)</x:f>
        <x:v>15</x:v>
      </x:c>
    </x:row>
    <x:row r="17" ht="42" customHeight="1">
      <x:c r="A17" s="24" t="n">
        <x:v>2</x:v>
      </x:c>
      <x:c r="B17" s="21" t="str">
        <x:v>Instance FQDN</x:v>
      </x:c>
      <x:c r="C17" s="25" t="str"/>
      <x:c r="D17" s="21" t="str">
        <x:v>DNS／TCP 443確認に使用</x:v>
      </x:c>
      <x:c r="F17" s="21" t="str">
        <x:v>実施済</x:v>
      </x:c>
      <x:c r="G17" s="26" t="n">
        <x:f>COUNTIF('01'!$B$5:$B$60,"■")</x:f>
        <x:v>0</x:v>
      </x:c>
    </x:row>
    <x:row r="18" ht="42" customHeight="1">
      <x:c r="A18" s="24" t="n">
        <x:v>3</x:v>
      </x:c>
      <x:c r="B18" s="21" t="str">
        <x:v>MID Server Name</x:v>
      </x:c>
      <x:c r="C18" s="25" t="str"/>
      <x:c r="D18" s="21" t="str">
        <x:v>VM・命名規則・ServiceNowレコードと一致</x:v>
      </x:c>
      <x:c r="F18" s="21" t="str">
        <x:v>確認済</x:v>
      </x:c>
      <x:c r="G18" s="26" t="n">
        <x:f>COUNTIF('01'!$R$5:$R$60,"■")</x:f>
        <x:v>0</x:v>
      </x:c>
    </x:row>
    <x:row r="19" ht="42" customHeight="1">
      <x:c r="A19" s="24" t="n">
        <x:v>4</x:v>
      </x:c>
      <x:c r="B19" s="21" t="str">
        <x:v>Windows VM Name / Private IP</x:v>
      </x:c>
      <x:c r="C19" s="25" t="str"/>
      <x:c r="D19" s="21" t="str">
        <x:v>固定Private IPを記録</x:v>
      </x:c>
    </x:row>
    <x:row r="20" ht="42" customHeight="1">
      <x:c r="A20" s="24" t="n">
        <x:v>5</x:v>
      </x:c>
      <x:c r="B20" s="21" t="str">
        <x:v>Installation Folder</x:v>
      </x:c>
      <x:c r="C20" s="25" t="str"/>
      <x:c r="D20" s="21" t="str">
        <x:v>会社指定。例：C:\ServiceNow\MID Server</x:v>
      </x:c>
      <x:c r="F20" s="11" t="str">
        <x:v>完了条件</x:v>
      </x:c>
      <x:c r="G20" s="11"/>
      <x:c r="H20" s="11"/>
    </x:row>
    <x:row r="21" ht="42" customHeight="1">
      <x:c r="A21" s="24" t="n">
        <x:v>6</x:v>
      </x:c>
      <x:c r="B21" s="21" t="str">
        <x:v>ServiceNow MID User</x:v>
      </x:c>
      <x:c r="C21" s="25" t="str"/>
      <x:c r="D21" s="21" t="str">
        <x:v>mid_serverロールを持つ専用技術ユーザー。パスワード記載禁止</x:v>
      </x:c>
      <x:c r="F21" s="25" t="str">
        <x:v>1. Windows ServiceがRunning
2. StartModeがAutomaticまたは会社指定
3. StartNameとPathNameが正しい
4. ログに継続的な接続エラーがない
5. ServiceNow側に対象MIDレコードが出現</x:v>
      </x:c>
      <x:c r="G21" s="25"/>
      <x:c r="H21" s="25"/>
    </x:row>
    <x:row r="22" ht="42" customHeight="1">
      <x:c r="A22" s="24" t="n">
        <x:v>7</x:v>
      </x:c>
      <x:c r="B22" s="21" t="str">
        <x:v>Windows Service Account</x:v>
      </x:c>
      <x:c r="C22" s="25" t="str"/>
      <x:c r="D22" s="21" t="str">
        <x:v>個人アカウント不可。Log on as a serviceとフォルダ権限を確認</x:v>
      </x:c>
      <x:c r="F22" s="25"/>
      <x:c r="G22" s="25"/>
      <x:c r="H22" s="25"/>
    </x:row>
    <x:row r="23" ht="42" customHeight="1">
      <x:c r="A23" s="24" t="n">
        <x:v>8</x:v>
      </x:c>
      <x:c r="B23" s="21" t="str">
        <x:v>Proxy / Mutual Authentication</x:v>
      </x:c>
      <x:c r="C23" s="25" t="str"/>
      <x:c r="D23" s="21" t="str">
        <x:v>使用有無と承認済み設定を記録</x:v>
      </x:c>
      <x:c r="F23" s="25"/>
      <x:c r="G23" s="25"/>
      <x:c r="H23" s="25"/>
    </x:row>
    <x:row r="24" ht="42" customHeight="1">
      <x:c r="A24" s="24" t="n">
        <x:v>9</x:v>
      </x:c>
      <x:c r="B24" s="21" t="str">
        <x:v>Evidence Folder</x:v>
      </x:c>
      <x:c r="C24" s="25" t="str"/>
      <x:c r="D24" s="21" t="str">
        <x:v>会社指定の証跡保存先</x:v>
      </x:c>
      <x:c r="F24" s="25"/>
      <x:c r="G24" s="25"/>
      <x:c r="H24" s="25"/>
    </x:row>
    <x:row r="25" ht="42" customHeight="1">
      <x:c r="A25" s="24" t="n">
        <x:v>10</x:v>
      </x:c>
      <x:c r="B25" s="21" t="str">
        <x:v>作業者／実施予定日</x:v>
      </x:c>
      <x:c r="C25" s="25" t="str"/>
      <x:c r="D25" s="21" t="str">
        <x:v>承認済み変更時間帯を確認</x:v>
      </x:c>
      <x:c r="F25" s="25"/>
      <x:c r="G25" s="25"/>
      <x:c r="H25" s="25"/>
    </x:row>
  </x:sheetData>
  <x:mergeCells>
    <x:mergeCell ref="A1:H1"/>
    <x:mergeCell ref="A2:H2"/>
    <x:mergeCell ref="A4:H4"/>
    <x:mergeCell ref="A14:H14"/>
    <x:mergeCell ref="F14:H14"/>
    <x:mergeCell ref="F20:H20"/>
    <x:mergeCell ref="F21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8.1299991607666" hidden="0" customWidth="1"/>
    <x:col min="3" max="3" width="41.25" hidden="0" customWidth="1"/>
    <x:col min="4" max="4" width="23.75" hidden="0" customWidth="1"/>
    <x:col min="5" max="5" width="35" hidden="0" customWidth="1"/>
    <x:col min="6" max="6" width="41.25" hidden="0" customWidth="1"/>
  </x:cols>
  <x:sheetData>
    <x:row r="1">
      <x:c r="A1" s="3" t="str">
        <x:v>目次</x:v>
      </x:c>
      <x:c r="B1" s="3"/>
      <x:c r="C1" s="3"/>
      <x:c r="D1" s="3"/>
      <x:c r="E1" s="3"/>
      <x:c r="F1" s="3"/>
    </x:row>
    <x:row r="3">
      <x:c r="A3" s="23" t="str">
        <x:v>No.</x:v>
      </x:c>
      <x:c r="B3" s="23" t="str">
        <x:v>Sheet</x:v>
      </x:c>
      <x:c r="C3" s="23" t="str">
        <x:v>内容</x:v>
      </x:c>
      <x:c r="D3" s="23" t="str">
        <x:v>対象</x:v>
      </x:c>
      <x:c r="E3" s="23" t="str">
        <x:v>完了判定</x:v>
      </x:c>
      <x:c r="F3" s="23" t="str">
        <x:v>備考</x:v>
      </x:c>
    </x:row>
    <x:row r="4" ht="50" customHeight="1">
      <x:c r="A4" s="24" t="n">
        <x:v>1</x:v>
      </x:c>
      <x:c r="B4" s="21" t="str">
        <x:v>全体</x:v>
      </x:c>
      <x:c r="C4" s="21" t="str">
        <x:v>文書情報、参照値、進捗、完了条件</x:v>
      </x:c>
      <x:c r="D4" s="21" t="str">
        <x:v>必要時・作業後</x:v>
      </x:c>
      <x:c r="E4" s="21" t="str">
        <x:v>必要情報を参照できる</x:v>
      </x:c>
      <x:c r="F4" s="21" t="str">
        <x:v>必要に応じて記入</x:v>
      </x:c>
    </x:row>
    <x:row r="5" ht="50" customHeight="1">
      <x:c r="A5" s="24" t="n">
        <x:v>2</x:v>
      </x:c>
      <x:c r="B5" s="21" t="str">
        <x:v>01</x:v>
      </x:c>
      <x:c r="C5" s="21" t="str">
        <x:v>Windows MID Server構築手順</x:v>
      </x:c>
      <x:c r="D5" s="21" t="str">
        <x:v>Windows側構築</x:v>
      </x:c>
      <x:c r="E5" s="21" t="str">
        <x:v>実施・確認欄が全て完了</x:v>
      </x:c>
      <x:c r="F5" s="21" t="str">
        <x:v>企業画面を貼付</x:v>
      </x:c>
    </x:row>
    <x:row r="6" ht="50" customHeight="1">
      <x:c r="A6" s="24" t="n">
        <x:v>3</x:v>
      </x:c>
      <x:c r="B6" s="21" t="str">
        <x:v>トラブル対応</x:v>
      </x:c>
      <x:c r="C6" s="21" t="str">
        <x:v>代表的なエラーと切り分け</x:v>
      </x:c>
      <x:c r="D6" s="21" t="str">
        <x:v>異常時</x:v>
      </x:c>
      <x:c r="E6" s="21" t="str">
        <x:v>原因・対応・証跡を記録</x:v>
      </x:c>
      <x:c r="F6" s="21" t="str">
        <x:v>勝手にセキュリティ機能を無効化しない</x:v>
      </x:c>
    </x:row>
    <x:row r="7" ht="50" customHeight="1">
      <x:c r="A7" s="24" t="n">
        <x:v>4</x:v>
      </x:c>
      <x:c r="B7" s="21" t="str">
        <x:v>参考資料</x:v>
      </x:c>
      <x:c r="C7" s="21" t="str">
        <x:v>ServiceNow公式資料</x:v>
      </x:c>
      <x:c r="D7" s="21" t="str">
        <x:v>実行前</x:v>
      </x:c>
      <x:c r="E7" s="21" t="str">
        <x:v>現行Releaseの内容を確認</x:v>
      </x:c>
      <x:c r="F7" s="21" t="str">
        <x:v>URLと確認日を記録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6.75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37.5" hidden="0" customWidth="1"/>
    <x:col min="18" max="18" width="7.25" hidden="0" customWidth="1"/>
    <x:col min="19" max="19" width="15.630000114440918" hidden="0" customWidth="1"/>
  </x:cols>
  <x:sheetData>
    <x:row r="1" ht="38" customHeight="1">
      <x:c r="A1" s="3" t="str">
        <x:v>■MID Server構築手順書（Windows）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8" t="str">
        <x:v>本手順はWindows側の構築を対象とする。ServiceNow側の詳細Validate、Capability、IP Range設定は『ServiceNow MID Server登録手順書』を参照する。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4" ht="34" customHeight="1">
      <x:c r="A4" s="23" t="str">
        <x:v>#</x:v>
      </x:c>
      <x:c r="B4" s="23" t="str">
        <x:v>実施</x:v>
      </x:c>
      <x:c r="C4" s="23" t="str">
        <x:v>手順</x:v>
      </x:c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 t="str">
        <x:v>確認内容</x:v>
      </x:c>
      <x:c r="R4" s="23" t="str">
        <x:v>確認</x:v>
      </x:c>
      <x:c r="S4" s="23" t="str">
        <x:v>作業者／日付</x:v>
      </x:c>
    </x:row>
    <x:row r="5" ht="26" customHeight="1">
      <x:c r="A5" s="11" t="str">
        <x:v>A. 事前準備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</x:row>
    <x:row r="6" ht="88" customHeight="1">
      <x:c r="A6" s="31" t="n">
        <x:v>1</x:v>
      </x:c>
      <x:c r="B6" s="31" t="str">
        <x:v>□</x:v>
      </x:c>
      <x:c r="C6" s="21" t="str">
        <x:v>Windows VMへ管理者権限でログインし、OSとリソースを確認します。
管理者PowerShellで1行ずつ実行します。
$PSVersionTable.PSVersion
Get-CimInstance Win32_OperatingSystem | Select-Object Caption,Version,OSArchitecture
Get-Volume -DriveLetter C | Select-Object DriveLetter,Size,SizeRemaining</x:v>
      </x:c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 t="str">
        <x:v>現行MID Server要件を満たすWindows Serverで、インストール先に十分な空き容量があること</x:v>
      </x:c>
      <x:c r="R6" s="31" t="str">
        <x:v>□</x:v>
      </x:c>
      <x:c r="S6" s="31" t="str">
        <x:v>担当：
日付：</x:v>
      </x:c>
    </x:row>
    <x:row r="7" ht="120" customHeight="1">
      <x:c r="A7" s="31"/>
      <x:c r="B7" s="31"/>
      <x:c r="C7" s="35" t="str">
        <x:v>【スクリーンショット貼付欄】
OS名、64-bit、PowerShell Version、Cドライブ空き容量が読める画面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21"/>
      <x:c r="R7" s="31"/>
      <x:c r="S7" s="31"/>
    </x:row>
    <x:row r="8" ht="88" customHeight="1">
      <x:c r="A8" s="31" t="n">
        <x:v>2</x:v>
      </x:c>
      <x:c r="B8" s="31" t="str">
        <x:v>□</x:v>
      </x:c>
      <x:c r="C8" s="21" t="str">
        <x:v>使用する3種類のアカウントを区別して確認します。
Windows管理者はインストール時のみ使用します。Windows Service AccountはMIDサービスの実行に使用し、ServiceNow MID UserはServiceNow Instanceへの接続に使用します。個人アカウントを長期サービス実行に使用しません。</x:v>
      </x:c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 t="str">
        <x:v>MID User、Service Account、管理者の用途が混同されていないこと</x:v>
      </x:c>
      <x:c r="R8" s="31" t="str">
        <x:v>□</x:v>
      </x:c>
      <x:c r="S8" s="31" t="str">
        <x:v>担当：
日付：</x:v>
      </x:c>
    </x:row>
    <x:row r="9" ht="120" customHeight="1">
      <x:c r="A9" s="31"/>
      <x:c r="B9" s="31"/>
      <x:c r="C9" s="35" t="str">
        <x:v>【スクリーンショット貼付欄】
承認記録またはアカウント一覧（パスワード・個人情報をマスキング）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21"/>
      <x:c r="R9" s="31"/>
      <x:c r="S9" s="31"/>
    </x:row>
    <x:row r="10" ht="88" customHeight="1">
      <x:c r="A10" s="31" t="n">
        <x:v>3</x:v>
      </x:c>
      <x:c r="B10" s="31" t="str">
        <x:v>□</x:v>
      </x:c>
      <x:c r="C10" s="21" t="str">
        <x:v>ServiceNow InstanceへのDNSとTCP 443通信を確認します。
&lt;INSTANCE_FQDN&gt;を実値へ置き換え、1行ずつ実行します。
Resolve-DnsName &lt;INSTANCE_FQDN&gt;
Test-NetConnection &lt;INSTANCE_FQDN&gt; -Port 443
Proxyを使用する場合は会社指定の設定も確認します。</x:v>
      </x:c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 t="str">
        <x:v>MID ServerからServiceNow InstanceへHTTPS 443で到達できること</x:v>
      </x:c>
      <x:c r="R10" s="31" t="str">
        <x:v>□</x:v>
      </x:c>
      <x:c r="S10" s="31" t="str">
        <x:v>担当：
日付：</x:v>
      </x:c>
    </x:row>
    <x:row r="11" ht="120" customHeight="1">
      <x:c r="A11" s="31"/>
      <x:c r="B11" s="31"/>
      <x:c r="C11" s="35" t="str">
        <x:v>【スクリーンショット貼付欄】
DNS解決結果とTcpTestSucceeded : Trueが確認できる画面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21"/>
      <x:c r="R11" s="31"/>
      <x:c r="S11" s="31"/>
    </x:row>
    <x:row r="12" ht="88" customHeight="1">
      <x:c r="A12" s="31" t="n">
        <x:v>4</x:v>
      </x:c>
      <x:c r="B12" s="31" t="str">
        <x:v>□</x:v>
      </x:c>
      <x:c r="C12" s="21" t="str">
        <x:v>一時フォルダ、インストール先、証跡フォルダを準備します。
会社指定のパスを優先します。例：
New-Item -ItemType Directory -Path 'C:\Temp\MID' -Force
New-Item -ItemType Directory -Path 'C:\ServiceNow\MID Server' -Force
OneDrive同期フォルダやネットワーク共有からMSIを直接実行しません。</x:v>
      </x:c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 t="str">
        <x:v>パスが確定し、Windows Service Accountへ必要最小限の権限を付与できること</x:v>
      </x:c>
      <x:c r="R12" s="31" t="str">
        <x:v>□</x:v>
      </x:c>
      <x:c r="S12" s="31" t="str">
        <x:v>担当：
日付：</x:v>
      </x:c>
    </x:row>
    <x:row r="13" ht="120" customHeight="1">
      <x:c r="A13" s="31"/>
      <x:c r="B13" s="31"/>
      <x:c r="C13" s="35" t="str">
        <x:v>【スクリーンショット貼付欄】
作成した3つのフォルダと空き容量が確認できる画面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21"/>
      <x:c r="R13" s="31"/>
      <x:c r="S13" s="31"/>
    </x:row>
    <x:row r="14" ht="26" customHeight="1">
      <x:c r="A14" s="11" t="str">
        <x:v>B. インストーラー取得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</x:row>
    <x:row r="15" ht="88" customHeight="1">
      <x:c r="A15" s="31" t="n">
        <x:v>5</x:v>
      </x:c>
      <x:c r="B15" s="31" t="str">
        <x:v>□</x:v>
      </x:c>
      <x:c r="C15" s="21" t="str">
        <x:v>ServiceNowからWindows MID Server Installerを取得します。
企業Dev Instanceへログインし、MID ServerのInstall／Download導線からWindows用のガイド式Installer（MSI）を選択します。Linux用DEB、署名ZIP、古い手動ZIPを選択しません。</x:v>
      </x:c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 t="str">
        <x:v>取得したファイルがWindows Installer Package（.msi）であること</x:v>
      </x:c>
      <x:c r="R15" s="31" t="str">
        <x:v>□</x:v>
      </x:c>
      <x:c r="S15" s="31" t="str">
        <x:v>担当：
日付：</x:v>
      </x:c>
    </x:row>
    <x:row r="16" ht="120" customHeight="1">
      <x:c r="A16" s="31"/>
      <x:c r="B16" s="31"/>
      <x:c r="C16" s="35" t="str">
        <x:v>【スクリーンショット貼付欄】
ServiceNowのWindows Installer選択画面とダウンロード完了画面（URLの機密部分をマスキング）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21"/>
      <x:c r="R16" s="31"/>
      <x:c r="S16" s="31"/>
    </x:row>
    <x:row r="17" ht="88" customHeight="1">
      <x:c r="A17" s="31" t="n">
        <x:v>6</x:v>
      </x:c>
      <x:c r="B17" s="31" t="str">
        <x:v>□</x:v>
      </x:c>
      <x:c r="C17" s="21" t="str">
        <x:v>MSIのファイル情報、Hash、署名を確認します。
実ファイル名へ置き換えます。
Get-Item 'C:\Temp\MID\&lt;installer&gt;.msi' | Select Name,Length,LastWriteTime
Get-FileHash 'C:\Temp\MID\&lt;installer&gt;.msi' -Algorithm SHA256
Get-AuthenticodeSignature 'C:\Temp\MID\&lt;installer&gt;.msi' | Format-List Status,SignerCertificate</x:v>
      </x:c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 t="str">
        <x:v>ファイル種別と取得元が正しく、会社の署名確認ルールを満たすこと</x:v>
      </x:c>
      <x:c r="R17" s="31" t="str">
        <x:v>□</x:v>
      </x:c>
      <x:c r="S17" s="31" t="str">
        <x:v>担当：
日付：</x:v>
      </x:c>
    </x:row>
    <x:row r="18" ht="120" customHeight="1">
      <x:c r="A18" s="31"/>
      <x:c r="B18" s="31"/>
      <x:c r="C18" s="35" t="str">
        <x:v>【スクリーンショット貼付欄】
ファイル名、サイズ、取得日時、SHA-256、署名状態が読める画面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21"/>
      <x:c r="R18" s="31"/>
      <x:c r="S18" s="31"/>
    </x:row>
    <x:row r="19" ht="26" customHeight="1">
      <x:c r="A19" s="11" t="str">
        <x:v>C. MID Serverインストール</x:v>
      </x:c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</x:row>
    <x:row r="20" ht="88" customHeight="1">
      <x:c r="A20" s="31" t="n">
        <x:v>7</x:v>
      </x:c>
      <x:c r="B20" s="31" t="str">
        <x:v>□</x:v>
      </x:c>
      <x:c r="C20" s="21" t="str">
        <x:v>Windows Installerを管理者権限で起動します。
MSIを右クリックして管理者として実行します。詳細ログが必要な場合：
msiexec.exe /i 'C:\Temp\MID\&lt;installer&gt;.msi' /L*v 'C:\Windows\Temp\mid-install.log'
SmartScreen等でブロックされた場合は勝手に無効化せず、画面を保存して担当チームへ確認します。</x:v>
      </x:c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 t="str">
        <x:v>管理者権限でInstallerが開始し、エラーなく最初の画面が表示されること</x:v>
      </x:c>
      <x:c r="R20" s="31" t="str">
        <x:v>□</x:v>
      </x:c>
      <x:c r="S20" s="31" t="str">
        <x:v>担当：
日付：</x:v>
      </x:c>
    </x:row>
    <x:row r="21" ht="120" customHeight="1">
      <x:c r="A21" s="31"/>
      <x:c r="B21" s="31"/>
      <x:c r="C21" s="35" t="str">
        <x:v>【スクリーンショット貼付欄】
Installer起動画面またはmsiexec実行画面（機密パラメータなし）</x:v>
      </x:c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21"/>
      <x:c r="R21" s="31"/>
      <x:c r="S21" s="31"/>
    </x:row>
    <x:row r="22" ht="88" customHeight="1">
      <x:c r="A22" s="31" t="n">
        <x:v>8</x:v>
      </x:c>
      <x:c r="B22" s="31" t="str">
        <x:v>□</x:v>
      </x:c>
      <x:c r="C22" s="21" t="str">
        <x:v>Installation FolderとJava／起動オプションを設定します。
会社指定のInstallation Folderを入力します。Installerに含まれる／設定されるOpenJDKを優先し、必要がない限りJAVA_HOMEを手動変更しません。Start after installationは会社ルールに従います。</x:v>
      </x:c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 t="str">
        <x:v>Install先が正しく、旧MIDや別環境のFolderを参照していないこと</x:v>
      </x:c>
      <x:c r="R22" s="31" t="str">
        <x:v>□</x:v>
      </x:c>
      <x:c r="S22" s="31" t="str">
        <x:v>担当：
日付：</x:v>
      </x:c>
    </x:row>
    <x:row r="23" ht="120" customHeight="1">
      <x:c r="A23" s="31"/>
      <x:c r="B23" s="31"/>
      <x:c r="C23" s="35" t="str">
        <x:v>【スクリーンショット貼付欄】
Installation Folder、Java、Start optionの選択画面（入力値が読めること）</x:v>
      </x:c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21"/>
      <x:c r="R23" s="31"/>
      <x:c r="S23" s="31"/>
    </x:row>
    <x:row r="24" ht="88" customHeight="1">
      <x:c r="A24" s="31" t="n">
        <x:v>9</x:v>
      </x:c>
      <x:c r="B24" s="31" t="str">
        <x:v>□</x:v>
      </x:c>
      <x:c r="C24" s="21" t="str">
        <x:v>ServiceNow接続情報とMID Server Nameを入力します。
企業DevのInstance URL、承認済みServiceNow MID User、MID Server Nameを入力します。Proxy／Mutual Authenticationは会社設計に従います。パスワード入力中と入力後の画面は撮影しません。</x:v>
      </x:c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 t="str">
        <x:v>対象InstanceとMID Nameが［全体］Sheetの入力値に一致し、接続確認が成功すること</x:v>
      </x:c>
      <x:c r="R24" s="31" t="str">
        <x:v>□</x:v>
      </x:c>
      <x:c r="S24" s="31" t="str">
        <x:v>担当：
日付：</x:v>
      </x:c>
    </x:row>
    <x:row r="25" ht="120" customHeight="1">
      <x:c r="A25" s="31"/>
      <x:c r="B25" s="31"/>
      <x:c r="C25" s="35" t="str">
        <x:v>【スクリーンショット貼付欄】
Instance URL、MID Name、Proxy設定が確認できる画面（User名は必要に応じてマスキング）</x:v>
      </x:c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21"/>
      <x:c r="R25" s="31"/>
      <x:c r="S25" s="31"/>
    </x:row>
    <x:row r="26" ht="88" customHeight="1">
      <x:c r="A26" s="31" t="n">
        <x:v>10</x:v>
      </x:c>
      <x:c r="B26" s="31" t="str">
        <x:v>□</x:v>
      </x:c>
      <x:c r="C26" s="21" t="str">
        <x:v>Windows Service Accountを設定します。
承認済みWindows Service Accountを指定します。個人アカウントやWindows管理者を長期利用しません。Log on as a service、インストール先の読取／書込／実行権限を確認します。パスワード画面は撮影しません。</x:v>
      </x:c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 t="str">
        <x:v>Service Accountが承認済みで、必要権限とパスワード有効期限の扱いが確認済みであること</x:v>
      </x:c>
      <x:c r="R26" s="31" t="str">
        <x:v>□</x:v>
      </x:c>
      <x:c r="S26" s="31" t="str">
        <x:v>担当：
日付：</x:v>
      </x:c>
    </x:row>
    <x:row r="27" ht="120" customHeight="1">
      <x:c r="A27" s="31"/>
      <x:c r="B27" s="31"/>
      <x:c r="C27" s="35" t="str">
        <x:v>【スクリーンショット貼付欄】
Service Account指定画面（アカウント名を必要に応じてマスキング）</x:v>
      </x:c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21"/>
      <x:c r="R27" s="31"/>
      <x:c r="S27" s="31"/>
    </x:row>
    <x:row r="28" ht="88" customHeight="1">
      <x:c r="A28" s="31" t="n">
        <x:v>11</x:v>
      </x:c>
      <x:c r="B28" s="31" t="str">
        <x:v>□</x:v>
      </x:c>
      <x:c r="C28" s="21" t="str">
        <x:v>インストールを完了し、完了画面を保存します。
設定内容を確認してInstall／Finishを実行します。処理中にInstallerを強制終了しません。MSIとZIP手動方式のstart.batを混用しません。</x:v>
      </x:c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 t="str">
        <x:v>Installerが正常終了し、MID Serverのagent FolderとWindows Serviceが作成されること</x:v>
      </x:c>
      <x:c r="R28" s="31" t="str">
        <x:v>□</x:v>
      </x:c>
      <x:c r="S28" s="31" t="str">
        <x:v>担当：
日付：</x:v>
      </x:c>
    </x:row>
    <x:row r="29" ht="120" customHeight="1">
      <x:c r="A29" s="31"/>
      <x:c r="B29" s="31"/>
      <x:c r="C29" s="35" t="str">
        <x:v>【スクリーンショット貼付欄】
Installation completed／Finish画面とインストールFolderのagent配下</x:v>
      </x:c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21"/>
      <x:c r="R29" s="31"/>
      <x:c r="S29" s="31"/>
    </x:row>
    <x:row r="30" ht="26" customHeight="1">
      <x:c r="A30" s="11" t="str">
        <x:v>D. Windows側の稼働確認</x:v>
      </x:c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</x:row>
    <x:row r="31" ht="88" customHeight="1">
      <x:c r="A31" s="31" t="n">
        <x:v>12</x:v>
      </x:c>
      <x:c r="B31" s="31" t="str">
        <x:v>□</x:v>
      </x:c>
      <x:c r="C31" s="21" t="str">
        <x:v>Windows Serviceの状態、起動方式、実行Account、Pathを確認します。
services.mscまたは管理者PowerShellで確認します。
Get-CimInstance Win32_Service | Where-Object {$_.PathName -like '*agent*'} | Select Name,State,StartMode,StartName,PathName
Get-Service | Where-Object {$_.DisplayName -like '*MID*' -or $_.Name -like '*MID*'}</x:v>
      </x:c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 t="str">
        <x:v>State=Running、StartMode=Automaticまたは会社指定、AccountとPathが正しいこと</x:v>
      </x:c>
      <x:c r="R31" s="31" t="str">
        <x:v>□</x:v>
      </x:c>
      <x:c r="S31" s="31" t="str">
        <x:v>担当：
日付：</x:v>
      </x:c>
    </x:row>
    <x:row r="32" ht="120" customHeight="1">
      <x:c r="A32" s="31"/>
      <x:c r="B32" s="31"/>
      <x:c r="C32" s="35" t="str">
        <x:v>【スクリーンショット貼付欄】
Service Name、Running、Automatic、StartName、PathNameが読める画面</x:v>
      </x:c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21"/>
      <x:c r="R32" s="31"/>
      <x:c r="S32" s="31"/>
    </x:row>
    <x:row r="33" ht="88" customHeight="1">
      <x:c r="A33" s="31" t="n">
        <x:v>13</x:v>
      </x:c>
      <x:c r="B33" s="31" t="str">
        <x:v>□</x:v>
      </x:c>
      <x:c r="C33" s="21" t="str">
        <x:v>MID Serverログに継続的なエラーがないことを確認します。
&lt;MID_HOME&gt;を実Install先へ置き換えます。
Get-ChildItem '&lt;MID_HOME&gt;\agent\logs'
Get-Content '&lt;MID_HOME&gt;\agent\logs\agent0.log.0' -Tail 100
Get-Content '&lt;MID_HOME&gt;\agent\logs\wrapper.log' -Tail 100
ログ共有前にURL、Account、Token等をマスキングします。</x:v>
      </x:c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 t="str">
        <x:v>再起動ループ、認証失敗、証明書、Proxy、Instance URLの継続エラーがないこと</x:v>
      </x:c>
      <x:c r="R33" s="31" t="str">
        <x:v>□</x:v>
      </x:c>
      <x:c r="S33" s="31" t="str">
        <x:v>担当：
日付：</x:v>
      </x:c>
    </x:row>
    <x:row r="34" ht="120" customHeight="1">
      <x:c r="A34" s="31"/>
      <x:c r="B34" s="31"/>
      <x:c r="C34" s="35" t="str">
        <x:v>【スクリーンショット貼付欄】
logs Folder、agent0.log.0、wrapper.logの末尾（機密情報をマスキング）</x:v>
      </x:c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21"/>
      <x:c r="R34" s="31"/>
      <x:c r="S34" s="31"/>
    </x:row>
    <x:row r="35" ht="88" customHeight="1">
      <x:c r="A35" s="31" t="n">
        <x:v>14</x:v>
      </x:c>
      <x:c r="B35" s="31" t="str">
        <x:v>□</x:v>
      </x:c>
      <x:c r="C35" s="21" t="str">
        <x:v>ServiceNow側に対象MID Serverレコードが出現したことを確認します。
ServiceNowのMID Servers一覧で入力したMID Server Nameを検索し、レコードが作成されていることを確認します。ここでは初期接続までを確認します。詳細Validate、Capability、IP Rangeは『ServiceNow MID Server登録手順書』へ引き継ぎます。</x:v>
      </x:c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 t="str">
        <x:v>対象MIDレコードが出現し、Windows VMとName／Host情報が対応していること</x:v>
      </x:c>
      <x:c r="R35" s="31" t="str">
        <x:v>□</x:v>
      </x:c>
      <x:c r="S35" s="31" t="str">
        <x:v>担当：
日付：</x:v>
      </x:c>
    </x:row>
    <x:row r="36" ht="120" customHeight="1">
      <x:c r="A36" s="31"/>
      <x:c r="B36" s="31"/>
      <x:c r="C36" s="35" t="str">
        <x:v>【スクリーンショット貼付欄】
MID Servers一覧で対象Nameが確認できる画面（無関係なMIDをマスキング）</x:v>
      </x:c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21"/>
      <x:c r="R36" s="31"/>
      <x:c r="S36" s="31"/>
    </x:row>
    <x:row r="37" ht="26" customHeight="1">
      <x:c r="A37" s="11" t="str">
        <x:v>E. 完了・引継ぎ</x:v>
      </x:c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</x:row>
    <x:row r="38" ht="88" customHeight="1">
      <x:c r="A38" s="31" t="n">
        <x:v>15</x:v>
      </x:c>
      <x:c r="B38" s="31" t="str">
        <x:v>□</x:v>
      </x:c>
      <x:c r="C38" s="21" t="str">
        <x:v>証跡を整理し、登録手順担当へ引き継ぎます。
全スクリーンショットとログからパスワード、Cookie、一時URL、Token、個人情報、無関係なAccountを除去します。実施・確認欄を全て■にし、MSI名、Hash、Install Folder、Service情報、ログ、MID一覧を証跡Folderへ格納します。</x:v>
      </x:c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 t="str">
        <x:v>Windows構築の完了条件5項目を満たし、登録手順へ必要情報を引き継げること</x:v>
      </x:c>
      <x:c r="R38" s="31" t="str">
        <x:v>□</x:v>
      </x:c>
      <x:c r="S38" s="31" t="str">
        <x:v>担当：
日付：</x:v>
      </x:c>
    </x:row>
    <x:row r="39" ht="120" customHeight="1">
      <x:c r="A39" s="31"/>
      <x:c r="B39" s="31"/>
      <x:c r="C39" s="35" t="str">
        <x:v>【スクリーンショット貼付欄】
証跡Folderの構成と、本Sheetの全実施・確認欄が完了した画面</x:v>
      </x:c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21"/>
      <x:c r="R39" s="31"/>
      <x:c r="S39" s="31"/>
    </x:row>
    <x:row r="40" ht="30" customHeight="1">
      <x:c r="A40" s="8" t="str">
        <x:v>注記：企業環境の画面差異がある場合は、実画面を優先し、差異と判断理由を備考または改訂履歴へ記録する。</x:v>
      </x:c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</x:row>
  </x:sheetData>
  <x:mergeCells>
    <x:mergeCell ref="A1:S1"/>
    <x:mergeCell ref="A2:S2"/>
    <x:mergeCell ref="C4:P4"/>
    <x:mergeCell ref="A5:S5"/>
    <x:mergeCell ref="A6:A7"/>
    <x:mergeCell ref="B6:B7"/>
    <x:mergeCell ref="C6:P6"/>
    <x:mergeCell ref="C7:P7"/>
    <x:mergeCell ref="Q6:Q7"/>
    <x:mergeCell ref="R6:R7"/>
    <x:mergeCell ref="S6:S7"/>
    <x:mergeCell ref="A8:A9"/>
    <x:mergeCell ref="B8:B9"/>
    <x:mergeCell ref="C8:P8"/>
    <x:mergeCell ref="C9:P9"/>
    <x:mergeCell ref="Q8:Q9"/>
    <x:mergeCell ref="R8:R9"/>
    <x:mergeCell ref="S8:S9"/>
    <x:mergeCell ref="A10:A11"/>
    <x:mergeCell ref="B10:B11"/>
    <x:mergeCell ref="C10:P10"/>
    <x:mergeCell ref="C11:P11"/>
    <x:mergeCell ref="Q10:Q11"/>
    <x:mergeCell ref="R10:R11"/>
    <x:mergeCell ref="S10:S11"/>
    <x:mergeCell ref="A12:A13"/>
    <x:mergeCell ref="B12:B13"/>
    <x:mergeCell ref="C12:P12"/>
    <x:mergeCell ref="C13:P13"/>
    <x:mergeCell ref="Q12:Q13"/>
    <x:mergeCell ref="R12:R13"/>
    <x:mergeCell ref="S12:S13"/>
    <x:mergeCell ref="A14:S14"/>
    <x:mergeCell ref="A15:A16"/>
    <x:mergeCell ref="B15:B16"/>
    <x:mergeCell ref="C15:P15"/>
    <x:mergeCell ref="C16:P16"/>
    <x:mergeCell ref="Q15:Q16"/>
    <x:mergeCell ref="R15:R16"/>
    <x:mergeCell ref="S15:S16"/>
    <x:mergeCell ref="A17:A18"/>
    <x:mergeCell ref="B17:B18"/>
    <x:mergeCell ref="C17:P17"/>
    <x:mergeCell ref="C18:P18"/>
    <x:mergeCell ref="Q17:Q18"/>
    <x:mergeCell ref="R17:R18"/>
    <x:mergeCell ref="S17:S18"/>
    <x:mergeCell ref="A19:S19"/>
    <x:mergeCell ref="A20:A21"/>
    <x:mergeCell ref="B20:B21"/>
    <x:mergeCell ref="C20:P20"/>
    <x:mergeCell ref="C21:P21"/>
    <x:mergeCell ref="Q20:Q21"/>
    <x:mergeCell ref="R20:R21"/>
    <x:mergeCell ref="S20:S21"/>
    <x:mergeCell ref="A22:A23"/>
    <x:mergeCell ref="B22:B23"/>
    <x:mergeCell ref="C22:P22"/>
    <x:mergeCell ref="C23:P23"/>
    <x:mergeCell ref="Q22:Q23"/>
    <x:mergeCell ref="R22:R23"/>
    <x:mergeCell ref="S22:S23"/>
    <x:mergeCell ref="A24:A25"/>
    <x:mergeCell ref="B24:B25"/>
    <x:mergeCell ref="C24:P24"/>
    <x:mergeCell ref="C25:P25"/>
    <x:mergeCell ref="Q24:Q25"/>
    <x:mergeCell ref="R24:R25"/>
    <x:mergeCell ref="S24:S25"/>
    <x:mergeCell ref="A26:A27"/>
    <x:mergeCell ref="B26:B27"/>
    <x:mergeCell ref="C26:P26"/>
    <x:mergeCell ref="C27:P27"/>
    <x:mergeCell ref="Q26:Q27"/>
    <x:mergeCell ref="R26:R27"/>
    <x:mergeCell ref="S26:S27"/>
    <x:mergeCell ref="A28:A29"/>
    <x:mergeCell ref="B28:B29"/>
    <x:mergeCell ref="C28:P28"/>
    <x:mergeCell ref="C29:P29"/>
    <x:mergeCell ref="Q28:Q29"/>
    <x:mergeCell ref="R28:R29"/>
    <x:mergeCell ref="S28:S29"/>
    <x:mergeCell ref="A30:S30"/>
    <x:mergeCell ref="A31:A32"/>
    <x:mergeCell ref="B31:B32"/>
    <x:mergeCell ref="C31:P31"/>
    <x:mergeCell ref="C32:P32"/>
    <x:mergeCell ref="Q31:Q32"/>
    <x:mergeCell ref="R31:R32"/>
    <x:mergeCell ref="S31:S32"/>
    <x:mergeCell ref="A33:A34"/>
    <x:mergeCell ref="B33:B34"/>
    <x:mergeCell ref="C33:P33"/>
    <x:mergeCell ref="C34:P34"/>
    <x:mergeCell ref="Q33:Q34"/>
    <x:mergeCell ref="R33:R34"/>
    <x:mergeCell ref="S33:S34"/>
    <x:mergeCell ref="A35:A36"/>
    <x:mergeCell ref="B35:B36"/>
    <x:mergeCell ref="C35:P35"/>
    <x:mergeCell ref="C36:P36"/>
    <x:mergeCell ref="Q35:Q36"/>
    <x:mergeCell ref="R35:R36"/>
    <x:mergeCell ref="S35:S36"/>
    <x:mergeCell ref="A37:S37"/>
    <x:mergeCell ref="A38:A39"/>
    <x:mergeCell ref="B38:B39"/>
    <x:mergeCell ref="C38:P38"/>
    <x:mergeCell ref="C39:P39"/>
    <x:mergeCell ref="Q38:Q39"/>
    <x:mergeCell ref="R38:R39"/>
    <x:mergeCell ref="S38:S39"/>
    <x:mergeCell ref="A40:S40"/>
  </x:mergeCells>
  <x:dataValidations count="30">
    <x:dataValidation type="list" sqref="B6">
      <x:formula1>"□,■"</x:formula1>
    </x:dataValidation>
    <x:dataValidation type="list" sqref="R6">
      <x:formula1>"□,■"</x:formula1>
    </x:dataValidation>
    <x:dataValidation type="list" sqref="B8">
      <x:formula1>"□,■"</x:formula1>
    </x:dataValidation>
    <x:dataValidation type="list" sqref="R8">
      <x:formula1>"□,■"</x:formula1>
    </x:dataValidation>
    <x:dataValidation type="list" sqref="B10">
      <x:formula1>"□,■"</x:formula1>
    </x:dataValidation>
    <x:dataValidation type="list" sqref="R10">
      <x:formula1>"□,■"</x:formula1>
    </x:dataValidation>
    <x:dataValidation type="list" sqref="B12">
      <x:formula1>"□,■"</x:formula1>
    </x:dataValidation>
    <x:dataValidation type="list" sqref="R12">
      <x:formula1>"□,■"</x:formula1>
    </x:dataValidation>
    <x:dataValidation type="list" sqref="B15">
      <x:formula1>"□,■"</x:formula1>
    </x:dataValidation>
    <x:dataValidation type="list" sqref="R15">
      <x:formula1>"□,■"</x:formula1>
    </x:dataValidation>
    <x:dataValidation type="list" sqref="B17">
      <x:formula1>"□,■"</x:formula1>
    </x:dataValidation>
    <x:dataValidation type="list" sqref="R17">
      <x:formula1>"□,■"</x:formula1>
    </x:dataValidation>
    <x:dataValidation type="list" sqref="B20">
      <x:formula1>"□,■"</x:formula1>
    </x:dataValidation>
    <x:dataValidation type="list" sqref="R20">
      <x:formula1>"□,■"</x:formula1>
    </x:dataValidation>
    <x:dataValidation type="list" sqref="B22">
      <x:formula1>"□,■"</x:formula1>
    </x:dataValidation>
    <x:dataValidation type="list" sqref="R22">
      <x:formula1>"□,■"</x:formula1>
    </x:dataValidation>
    <x:dataValidation type="list" sqref="B24">
      <x:formula1>"□,■"</x:formula1>
    </x:dataValidation>
    <x:dataValidation type="list" sqref="R24">
      <x:formula1>"□,■"</x:formula1>
    </x:dataValidation>
    <x:dataValidation type="list" sqref="B26">
      <x:formula1>"□,■"</x:formula1>
    </x:dataValidation>
    <x:dataValidation type="list" sqref="R26">
      <x:formula1>"□,■"</x:formula1>
    </x:dataValidation>
    <x:dataValidation type="list" sqref="B28">
      <x:formula1>"□,■"</x:formula1>
    </x:dataValidation>
    <x:dataValidation type="list" sqref="R28">
      <x:formula1>"□,■"</x:formula1>
    </x:dataValidation>
    <x:dataValidation type="list" sqref="B31">
      <x:formula1>"□,■"</x:formula1>
    </x:dataValidation>
    <x:dataValidation type="list" sqref="R31">
      <x:formula1>"□,■"</x:formula1>
    </x:dataValidation>
    <x:dataValidation type="list" sqref="B33">
      <x:formula1>"□,■"</x:formula1>
    </x:dataValidation>
    <x:dataValidation type="list" sqref="R33">
      <x:formula1>"□,■"</x:formula1>
    </x:dataValidation>
    <x:dataValidation type="list" sqref="B35">
      <x:formula1>"□,■"</x:formula1>
    </x:dataValidation>
    <x:dataValidation type="list" sqref="R35">
      <x:formula1>"□,■"</x:formula1>
    </x:dataValidation>
    <x:dataValidation type="list" sqref="B38">
      <x:formula1>"□,■"</x:formula1>
    </x:dataValidation>
    <x:dataValidation type="list" sqref="R38">
      <x:formula1>"□,■"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28.75" hidden="0" customWidth="1"/>
    <x:col min="3" max="3" width="35" hidden="0" customWidth="1"/>
    <x:col min="4" max="4" width="38.75" hidden="0" customWidth="1"/>
    <x:col min="5" max="5" width="41.25" hidden="0" customWidth="1"/>
    <x:col min="6" max="6" width="41.25" hidden="0" customWidth="1"/>
  </x:cols>
  <x:sheetData>
    <x:row r="1">
      <x:c r="A1" s="3" t="str">
        <x:v>Windows MID Server | トラブル対応</x:v>
      </x:c>
      <x:c r="B1" s="3"/>
      <x:c r="C1" s="3"/>
      <x:c r="D1" s="3"/>
      <x:c r="E1" s="3"/>
      <x:c r="F1" s="3"/>
    </x:row>
    <x:row r="3">
      <x:c r="A3" s="23" t="str">
        <x:v>No.</x:v>
      </x:c>
      <x:c r="B3" s="23" t="str">
        <x:v>現象</x:v>
      </x:c>
      <x:c r="C3" s="23" t="str">
        <x:v>主な原因</x:v>
      </x:c>
      <x:c r="D3" s="23" t="str">
        <x:v>確認方法</x:v>
      </x:c>
      <x:c r="E3" s="23" t="str">
        <x:v>対応</x:v>
      </x:c>
      <x:c r="F3" s="23" t="str">
        <x:v>エスカレーション／証跡</x:v>
      </x:c>
    </x:row>
    <x:row r="4" ht="66" customHeight="1">
      <x:c r="A4" s="24" t="n">
        <x:v>1</x:v>
      </x:c>
      <x:c r="B4" s="21" t="str">
        <x:v>MSIが起動しない／ブロックされる</x:v>
      </x:c>
      <x:c r="C4" s="21" t="str">
        <x:v>SmartScreen、Defender、企業AV</x:v>
      </x:c>
      <x:c r="D4" s="21" t="str">
        <x:v>ブロック画面、Event Viewer、署名状態</x:v>
      </x:c>
      <x:c r="E4" s="21" t="str">
        <x:v>保護機能を無効化せず、会社の許可手順で確認</x:v>
      </x:c>
      <x:c r="F4" s="21" t="str">
        <x:v>ブロック画面、Hash、署名をSecurity担当へ</x:v>
      </x:c>
    </x:row>
    <x:row r="5" ht="66" customHeight="1">
      <x:c r="A5" s="24" t="n">
        <x:v>2</x:v>
      </x:c>
      <x:c r="B5" s="21" t="str">
        <x:v>Installation Folderへ書き込めない</x:v>
      </x:c>
      <x:c r="C5" s="21" t="str">
        <x:v>管理者権限またはACL不足</x:v>
      </x:c>
      <x:c r="D5" s="21" t="str">
        <x:v>Folder ACL、実行Account、MSIログ</x:v>
      </x:c>
      <x:c r="E5" s="21" t="str">
        <x:v>管理者でInstallし、Service Accountへ最小権限を付与</x:v>
      </x:c>
      <x:c r="F5" s="21" t="str">
        <x:v>ACLとMSIログをPlatform担当へ</x:v>
      </x:c>
    </x:row>
    <x:row r="6" ht="66" customHeight="1">
      <x:c r="A6" s="24" t="n">
        <x:v>3</x:v>
      </x:c>
      <x:c r="B6" s="21" t="str">
        <x:v>Windows Serviceを作成できない</x:v>
      </x:c>
      <x:c r="C6" s="21" t="str">
        <x:v>Service Account形式、権限、Password</x:v>
      </x:c>
      <x:c r="D6" s="21" t="str">
        <x:v>MSIログ、Account状態、Log on as a service</x:v>
      </x:c>
      <x:c r="E6" s="21" t="str">
        <x:v>承認済みAccountとPolicyを確認</x:v>
      </x:c>
      <x:c r="F6" s="21" t="str">
        <x:v>Account申請記録とErrorをID管理担当へ</x:v>
      </x:c>
    </x:row>
    <x:row r="7" ht="66" customHeight="1">
      <x:c r="A7" s="24" t="n">
        <x:v>4</x:v>
      </x:c>
      <x:c r="B7" s="21" t="str">
        <x:v>Serviceが起動しない</x:v>
      </x:c>
      <x:c r="C7" s="21" t="str">
        <x:v>StartName、Password、Path、ACL</x:v>
      </x:c>
      <x:c r="D7" s="21" t="str">
        <x:v>services.msc、Event Viewer、wrapper.log</x:v>
      </x:c>
      <x:c r="E7" s="21" t="str">
        <x:v>Account、Path、権限を修正後に1回再起動</x:v>
      </x:c>
      <x:c r="F7" s="21" t="str">
        <x:v>Error時刻と関連ログをPlatform担当へ</x:v>
      </x:c>
    </x:row>
    <x:row r="8" ht="66" customHeight="1">
      <x:c r="A8" s="24" t="n">
        <x:v>5</x:v>
      </x:c>
      <x:c r="B8" s="21" t="str">
        <x:v>Serviceが再起動を繰り返す</x:v>
      </x:c>
      <x:c r="C8" s="21" t="str">
        <x:v>Java、Memory、設定、Security software</x:v>
      </x:c>
      <x:c r="D8" s="21" t="str">
        <x:v>wrapper.log、agent0.log.0、Event Viewer</x:v>
      </x:c>
      <x:c r="E8" s="21" t="str">
        <x:v>JAVA_HOMEを勝手に変更せず、Installer設定を再確認</x:v>
      </x:c>
      <x:c r="F8" s="21" t="str">
        <x:v>ログをマスキングしてServiceNow担当へ</x:v>
      </x:c>
    </x:row>
    <x:row r="9" ht="66" customHeight="1">
      <x:c r="A9" s="24" t="n">
        <x:v>6</x:v>
      </x:c>
      <x:c r="B9" s="21" t="str">
        <x:v>Instance URL接続テスト失敗</x:v>
      </x:c>
      <x:c r="C9" s="21" t="str">
        <x:v>DNS、443、Proxy、TLS、URL誤り</x:v>
      </x:c>
      <x:c r="D9" s="21" t="str">
        <x:v>Resolve-DnsName、Test-NetConnection、Proxy設定</x:v>
      </x:c>
      <x:c r="E9" s="21" t="str">
        <x:v>FQDNと会社Network設計を確認</x:v>
      </x:c>
      <x:c r="F9" s="21" t="str">
        <x:v>疎通結果をNetwork担当へ</x:v>
      </x:c>
    </x:row>
    <x:row r="10" ht="66" customHeight="1">
      <x:c r="A10" s="24" t="n">
        <x:v>7</x:v>
      </x:c>
      <x:c r="B10" s="21" t="str">
        <x:v>MID User認証失敗</x:v>
      </x:c>
      <x:c r="C10" s="21" t="str">
        <x:v>Role、Password、Lock、対象環境誤り</x:v>
      </x:c>
      <x:c r="D10" s="21" t="str">
        <x:v>User状態、Role、Instance URL、ログ</x:v>
      </x:c>
      <x:c r="E10" s="21" t="str">
        <x:v>専用MID Userと対象Devを確認</x:v>
      </x:c>
      <x:c r="F10" s="21" t="str">
        <x:v>Passwordを除いたError情報をServiceNow管理者へ</x:v>
      </x:c>
    </x:row>
    <x:row r="11" ht="66" customHeight="1">
      <x:c r="A11" s="24" t="n">
        <x:v>8</x:v>
      </x:c>
      <x:c r="B11" s="21" t="str">
        <x:v>MIDレコードが出現しない</x:v>
      </x:c>
      <x:c r="C11" s="21" t="str">
        <x:v>Service未起動、認証／通信Error、MID Name不整合</x:v>
      </x:c>
      <x:c r="D11" s="21" t="str">
        <x:v>Service、agent log、Instance URL、MID Name</x:v>
      </x:c>
      <x:c r="E11" s="21" t="str">
        <x:v>Windows側4項目を順に再確認</x:v>
      </x:c>
      <x:c r="F11" s="21" t="str">
        <x:v>Service／ログ／疎通証跡を登録手順担当へ</x:v>
      </x:c>
    </x:row>
    <x:row r="12" ht="66" customHeight="1">
      <x:c r="A12" s="24" t="n">
        <x:v>9</x:v>
      </x:c>
      <x:c r="B12" s="21" t="str">
        <x:v>旧MIDまたは重複Nameを使用</x:v>
      </x:c>
      <x:c r="C12" s="21" t="str">
        <x:v>VM複製、再Install、命名確認漏れ</x:v>
      </x:c>
      <x:c r="D12" s="21" t="str">
        <x:v>Service Name、Install Folder、MID一覧</x:v>
      </x:c>
      <x:c r="E12" s="21" t="str">
        <x:v>NameとFolderを一意にして再構築判断</x:v>
      </x:c>
      <x:c r="F12" s="21" t="str">
        <x:v>既存MIDを勝手に削除せず管理者へ</x:v>
      </x:c>
    </x:row>
    <x:row r="13" ht="66" customHeight="1">
      <x:c r="A13" s="24" t="n">
        <x:v>10</x:v>
      </x:c>
      <x:c r="B13" s="21" t="str">
        <x:v>ログを共有できない</x:v>
      </x:c>
      <x:c r="C13" s="21" t="str">
        <x:v>Account、URL、Token等の機密値を含む</x:v>
      </x:c>
      <x:c r="D13" s="21" t="str">
        <x:v>共有対象ログを目視確認</x:v>
      </x:c>
      <x:c r="E13" s="21" t="str">
        <x:v>会社基準でマスキングして管理場所へ保存</x:v>
      </x:c>
      <x:c r="F13" s="21" t="str">
        <x:v>未加工ログをGitやChatへ添付しない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36.25" hidden="0" customWidth="1"/>
    <x:col min="3" max="3" width="41.25" hidden="0" customWidth="1"/>
    <x:col min="4" max="4" width="76.25" hidden="0" customWidth="1"/>
    <x:col min="5" max="5" width="26.25" hidden="0" customWidth="1"/>
  </x:cols>
  <x:sheetData>
    <x:row r="1">
      <x:c r="A1" s="3" t="str">
        <x:v>公式参考資料</x:v>
      </x:c>
      <x:c r="B1" s="3"/>
      <x:c r="C1" s="3"/>
      <x:c r="D1" s="3"/>
      <x:c r="E1" s="3"/>
    </x:row>
    <x:row r="2">
      <x:c r="A2" s="8" t="str">
        <x:v>実行前に対象Releaseと会社ルールを再確認する。URLはReleaseやLocaleによりRedirectされる場合がある。</x:v>
      </x:c>
      <x:c r="B2" s="8"/>
      <x:c r="C2" s="8"/>
      <x:c r="D2" s="8"/>
      <x:c r="E2" s="8"/>
    </x:row>
    <x:row r="4">
      <x:c r="A4" s="23" t="str">
        <x:v>No.</x:v>
      </x:c>
      <x:c r="B4" s="23" t="str">
        <x:v>資料名</x:v>
      </x:c>
      <x:c r="C4" s="23" t="str">
        <x:v>用途</x:v>
      </x:c>
      <x:c r="D4" s="23" t="str">
        <x:v>公式URL</x:v>
      </x:c>
      <x:c r="E4" s="23" t="str">
        <x:v>確認日／判定</x:v>
      </x:c>
    </x:row>
    <x:row r="5" ht="58" customHeight="1">
      <x:c r="A5" s="24" t="n">
        <x:v>1</x:v>
      </x:c>
      <x:c r="B5" s="21" t="str">
        <x:v>MID Server</x:v>
      </x:c>
      <x:c r="C5" s="21" t="str">
        <x:v>MID Server全体概要</x:v>
      </x:c>
      <x:c r="D5" s="21" t="str">
        <x:v>https://www.servicenow.com/docs/r/servicenow-platform/mid-server/mid-server.html</x:v>
      </x:c>
      <x:c r="E5" s="21" t="str">
        <x:v>2026-08-03／実行時再確認</x:v>
      </x:c>
    </x:row>
    <x:row r="6" ht="58" customHeight="1">
      <x:c r="A6" s="24" t="n">
        <x:v>2</x:v>
      </x:c>
      <x:c r="B6" s="21" t="str">
        <x:v>MID Server system requirements</x:v>
      </x:c>
      <x:c r="C6" s="21" t="str">
        <x:v>対応OS、PowerShell、Resource等の現行要件</x:v>
      </x:c>
      <x:c r="D6" s="21" t="str">
        <x:v>https://www.servicenow.com/docs/r/servicenow-platform/mid-server/r_MIDServerSystemRequirements.html</x:v>
      </x:c>
      <x:c r="E6" s="21" t="str">
        <x:v>2026-08-03／実行時再確認</x:v>
      </x:c>
    </x:row>
    <x:row r="7" ht="58" customHeight="1">
      <x:c r="A7" s="24" t="n">
        <x:v>3</x:v>
      </x:c>
      <x:c r="B7" s="21" t="str">
        <x:v>Install a MID Server on Windows</x:v>
      </x:c>
      <x:c r="C7" s="21" t="str">
        <x:v>Windows Install前提と導線</x:v>
      </x:c>
      <x:c r="D7" s="21" t="str">
        <x:v>https://www.servicenow.com/docs/r/servicenow-platform/mid-server/mid-server-install-prereqs.html</x:v>
      </x:c>
      <x:c r="E7" s="21" t="str">
        <x:v>2026-08-03／実行時再確認</x:v>
      </x:c>
    </x:row>
    <x:row r="8" ht="58" customHeight="1">
      <x:c r="A8" s="24" t="n">
        <x:v>4</x:v>
      </x:c>
      <x:c r="B8" s="21" t="str">
        <x:v>MID Server installation</x:v>
      </x:c>
      <x:c r="C8" s="21" t="str">
        <x:v>Manual／Guided SetupのInstall説明</x:v>
      </x:c>
      <x:c r="D8" s="21" t="str">
        <x:v>https://www.servicenow.com/docs/r/servicenow-platform/mid-server/mid-server-installation.html</x:v>
      </x:c>
      <x:c r="E8" s="21" t="str">
        <x:v>2026-08-03／実行時再確認</x:v>
      </x:c>
    </x:row>
    <x:row r="9" ht="58" customHeight="1">
      <x:c r="A9" s="24" t="n">
        <x:v>5</x:v>
      </x:c>
      <x:c r="B9" s="21" t="str">
        <x:v>Install MID Server as Windows Service</x:v>
      </x:c>
      <x:c r="C9" s="21" t="str">
        <x:v>Windows Serviceの起動・停止・再起動</x:v>
      </x:c>
      <x:c r="D9" s="21" t="str">
        <x:v>https://www.servicenow.com/docs/r/servicenow-platform/mid-server/t_InstallMIDServerAsWinService.html</x:v>
      </x:c>
      <x:c r="E9" s="21" t="str">
        <x:v>2026-08-03／実行時再確認</x:v>
      </x:c>
    </x:row>
  </x:sheetData>
  <x:mergeCells>
    <x:mergeCell ref="A1:E1"/>
    <x:mergeCell ref="A2:E2"/>
  </x:mergeCells>
  <x:pageMargins left="0.7" right="0.7" top="0.75" bottom="0.75" header="0.3" footer="0.3"/>
</x:worksheet>
</file>